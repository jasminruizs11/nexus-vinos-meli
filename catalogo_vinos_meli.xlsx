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Home\Desktop\nexus_vinos\"/>
    </mc:Choice>
  </mc:AlternateContent>
  <xr:revisionPtr revIDLastSave="0" documentId="13_ncr:1_{3FF9F38E-DE0B-4B94-AD92-4924B44D6DD4}" xr6:coauthVersionLast="47" xr6:coauthVersionMax="47" xr10:uidLastSave="{00000000-0000-0000-0000-000000000000}"/>
  <bookViews>
    <workbookView xWindow="-108" yWindow="-108" windowWidth="23256" windowHeight="12456" activeTab="1" xr2:uid="{00000000-000D-0000-FFFF-FFFF00000000}"/>
  </bookViews>
  <sheets>
    <sheet name="🍷 Catálogo de Vinos" sheetId="1" r:id="rId1"/>
    <sheet name="📸 Fotos y Contenido" sheetId="2" r:id="rId2"/>
    <sheet name="📊 Seguimiento Ventas" sheetId="3" r:id="rId3"/>
    <sheet name="ℹ️ Instrucciones"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8" roundtripDataChecksum="AqGu+VmReegQC0LDFyYON/NmlYUgyO6fyJiwefhbMF8="/>
    </ext>
  </extLst>
</workbook>
</file>

<file path=xl/calcChain.xml><?xml version="1.0" encoding="utf-8"?>
<calcChain xmlns="http://schemas.openxmlformats.org/spreadsheetml/2006/main">
  <c r="H65" i="3" l="1"/>
  <c r="C65" i="3"/>
  <c r="E64" i="3"/>
  <c r="F64" i="3" s="1"/>
  <c r="G63" i="3"/>
  <c r="I63" i="3" s="1"/>
  <c r="E63" i="3"/>
  <c r="F63" i="3" s="1"/>
  <c r="G62" i="3"/>
  <c r="I62" i="3" s="1"/>
  <c r="E62" i="3"/>
  <c r="F62" i="3" s="1"/>
  <c r="G61" i="3"/>
  <c r="I61" i="3" s="1"/>
  <c r="E61" i="3"/>
  <c r="F61" i="3" s="1"/>
  <c r="G60" i="3"/>
  <c r="I60" i="3" s="1"/>
  <c r="E60" i="3"/>
  <c r="F60" i="3" s="1"/>
  <c r="G59" i="3"/>
  <c r="I59" i="3" s="1"/>
  <c r="E59" i="3"/>
  <c r="F59" i="3" s="1"/>
  <c r="G58" i="3"/>
  <c r="I58" i="3" s="1"/>
  <c r="E58" i="3"/>
  <c r="F58" i="3" s="1"/>
  <c r="G57" i="3"/>
  <c r="I57" i="3" s="1"/>
  <c r="E57" i="3"/>
  <c r="F57" i="3" s="1"/>
  <c r="G56" i="3"/>
  <c r="I56" i="3" s="1"/>
  <c r="E56" i="3"/>
  <c r="F56" i="3" s="1"/>
  <c r="G55" i="3"/>
  <c r="I55" i="3" s="1"/>
  <c r="E55" i="3"/>
  <c r="F55" i="3" s="1"/>
  <c r="G54" i="3"/>
  <c r="I54" i="3" s="1"/>
  <c r="E54" i="3"/>
  <c r="F54" i="3" s="1"/>
  <c r="G53" i="3"/>
  <c r="I53" i="3" s="1"/>
  <c r="E53" i="3"/>
  <c r="F53" i="3" s="1"/>
  <c r="G52" i="3"/>
  <c r="I52" i="3" s="1"/>
  <c r="E52" i="3"/>
  <c r="F52" i="3" s="1"/>
  <c r="G51" i="3"/>
  <c r="I51" i="3" s="1"/>
  <c r="E51" i="3"/>
  <c r="F51" i="3" s="1"/>
  <c r="G50" i="3"/>
  <c r="I50" i="3" s="1"/>
  <c r="E50" i="3"/>
  <c r="F50" i="3" s="1"/>
  <c r="G49" i="3"/>
  <c r="I49" i="3" s="1"/>
  <c r="E49" i="3"/>
  <c r="F49" i="3" s="1"/>
  <c r="G48" i="3"/>
  <c r="I48" i="3" s="1"/>
  <c r="E48" i="3"/>
  <c r="F48" i="3" s="1"/>
  <c r="G47" i="3"/>
  <c r="I47" i="3" s="1"/>
  <c r="E47" i="3"/>
  <c r="F47" i="3" s="1"/>
  <c r="G46" i="3"/>
  <c r="I46" i="3" s="1"/>
  <c r="E46" i="3"/>
  <c r="F46" i="3" s="1"/>
  <c r="G45" i="3"/>
  <c r="I45" i="3" s="1"/>
  <c r="E45" i="3"/>
  <c r="F45" i="3" s="1"/>
  <c r="G44" i="3"/>
  <c r="I44" i="3" s="1"/>
  <c r="E44" i="3"/>
  <c r="F44" i="3" s="1"/>
  <c r="G43" i="3"/>
  <c r="I43" i="3" s="1"/>
  <c r="E43" i="3"/>
  <c r="F43" i="3" s="1"/>
  <c r="G42" i="3"/>
  <c r="I42" i="3" s="1"/>
  <c r="E42" i="3"/>
  <c r="F42" i="3" s="1"/>
  <c r="G41" i="3"/>
  <c r="I41" i="3" s="1"/>
  <c r="E41" i="3"/>
  <c r="F41" i="3" s="1"/>
  <c r="G40" i="3"/>
  <c r="I40" i="3" s="1"/>
  <c r="E40" i="3"/>
  <c r="F40" i="3" s="1"/>
  <c r="G39" i="3"/>
  <c r="I39" i="3" s="1"/>
  <c r="E39" i="3"/>
  <c r="F39" i="3" s="1"/>
  <c r="G38" i="3"/>
  <c r="I38" i="3" s="1"/>
  <c r="E38" i="3"/>
  <c r="F38" i="3" s="1"/>
  <c r="G37" i="3"/>
  <c r="I37" i="3" s="1"/>
  <c r="E37" i="3"/>
  <c r="F37" i="3" s="1"/>
  <c r="G36" i="3"/>
  <c r="I36" i="3" s="1"/>
  <c r="E36" i="3"/>
  <c r="F36" i="3" s="1"/>
  <c r="G35" i="3"/>
  <c r="I35" i="3" s="1"/>
  <c r="E35" i="3"/>
  <c r="F35" i="3" s="1"/>
  <c r="G34" i="3"/>
  <c r="I34" i="3" s="1"/>
  <c r="E34" i="3"/>
  <c r="F34" i="3" s="1"/>
  <c r="G33" i="3"/>
  <c r="I33" i="3" s="1"/>
  <c r="E33" i="3"/>
  <c r="F33" i="3" s="1"/>
  <c r="G32" i="3"/>
  <c r="I32" i="3" s="1"/>
  <c r="E32" i="3"/>
  <c r="F32" i="3" s="1"/>
  <c r="G31" i="3"/>
  <c r="I31" i="3" s="1"/>
  <c r="E31" i="3"/>
  <c r="F31" i="3" s="1"/>
  <c r="G30" i="3"/>
  <c r="I30" i="3" s="1"/>
  <c r="E30" i="3"/>
  <c r="F30" i="3" s="1"/>
  <c r="G29" i="3"/>
  <c r="I29" i="3" s="1"/>
  <c r="E29" i="3"/>
  <c r="F29" i="3" s="1"/>
  <c r="G28" i="3"/>
  <c r="I28" i="3" s="1"/>
  <c r="E28" i="3"/>
  <c r="F28" i="3" s="1"/>
  <c r="G27" i="3"/>
  <c r="I27" i="3" s="1"/>
  <c r="E27" i="3"/>
  <c r="F27" i="3" s="1"/>
  <c r="G26" i="3"/>
  <c r="I26" i="3" s="1"/>
  <c r="E26" i="3"/>
  <c r="F26" i="3" s="1"/>
  <c r="G25" i="3"/>
  <c r="I25" i="3" s="1"/>
  <c r="E25" i="3"/>
  <c r="F25" i="3" s="1"/>
  <c r="G24" i="3"/>
  <c r="I24" i="3" s="1"/>
  <c r="E24" i="3"/>
  <c r="F24" i="3" s="1"/>
  <c r="G23" i="3"/>
  <c r="I23" i="3" s="1"/>
  <c r="E23" i="3"/>
  <c r="F23" i="3" s="1"/>
  <c r="G22" i="3"/>
  <c r="I22" i="3" s="1"/>
  <c r="E22" i="3"/>
  <c r="F22" i="3" s="1"/>
  <c r="G21" i="3"/>
  <c r="I21" i="3" s="1"/>
  <c r="E21" i="3"/>
  <c r="F21" i="3" s="1"/>
  <c r="G20" i="3"/>
  <c r="I20" i="3" s="1"/>
  <c r="E20" i="3"/>
  <c r="F20" i="3" s="1"/>
  <c r="G19" i="3"/>
  <c r="I19" i="3" s="1"/>
  <c r="E19" i="3"/>
  <c r="F19" i="3" s="1"/>
  <c r="G18" i="3"/>
  <c r="I18" i="3" s="1"/>
  <c r="E18" i="3"/>
  <c r="F18" i="3" s="1"/>
  <c r="G17" i="3"/>
  <c r="I17" i="3" s="1"/>
  <c r="E17" i="3"/>
  <c r="F17" i="3" s="1"/>
  <c r="G16" i="3"/>
  <c r="I16" i="3" s="1"/>
  <c r="E16" i="3"/>
  <c r="F16" i="3" s="1"/>
  <c r="G15" i="3"/>
  <c r="I15" i="3" s="1"/>
  <c r="E15" i="3"/>
  <c r="F15" i="3" s="1"/>
  <c r="G14" i="3"/>
  <c r="I14" i="3" s="1"/>
  <c r="E14" i="3"/>
  <c r="F14" i="3" s="1"/>
  <c r="G13" i="3"/>
  <c r="I13" i="3" s="1"/>
  <c r="E13" i="3"/>
  <c r="F13" i="3" s="1"/>
  <c r="G12" i="3"/>
  <c r="I12" i="3" s="1"/>
  <c r="E12" i="3"/>
  <c r="F12" i="3" s="1"/>
  <c r="G11" i="3"/>
  <c r="I11" i="3" s="1"/>
  <c r="E11" i="3"/>
  <c r="F11" i="3" s="1"/>
  <c r="G10" i="3"/>
  <c r="I10" i="3" s="1"/>
  <c r="E10" i="3"/>
  <c r="F10" i="3" s="1"/>
  <c r="G9" i="3"/>
  <c r="I9" i="3" s="1"/>
  <c r="E9" i="3"/>
  <c r="F9" i="3" s="1"/>
  <c r="G8" i="3"/>
  <c r="I8" i="3" s="1"/>
  <c r="E8" i="3"/>
  <c r="F8" i="3" s="1"/>
  <c r="G7" i="3"/>
  <c r="I7" i="3" s="1"/>
  <c r="E7" i="3"/>
  <c r="F7" i="3" s="1"/>
  <c r="G6" i="3"/>
  <c r="I6" i="3" s="1"/>
  <c r="E6" i="3"/>
  <c r="F6" i="3" s="1"/>
  <c r="G5" i="3"/>
  <c r="E5" i="3"/>
  <c r="E65" i="3" s="1"/>
  <c r="A54" i="2"/>
  <c r="A53" i="2"/>
  <c r="A52" i="2"/>
  <c r="A51" i="2"/>
  <c r="A50" i="2"/>
  <c r="A49" i="2"/>
  <c r="A48" i="2"/>
  <c r="A47" i="2"/>
  <c r="A46" i="2"/>
  <c r="A45" i="2"/>
  <c r="A44" i="2"/>
  <c r="A43" i="2"/>
  <c r="A42" i="2"/>
  <c r="A41" i="2"/>
  <c r="A40" i="2"/>
  <c r="A39" i="2"/>
  <c r="A38" i="2"/>
  <c r="A37" i="2"/>
  <c r="A36" i="2"/>
  <c r="A35" i="2"/>
  <c r="A34" i="2"/>
  <c r="A33" i="2"/>
  <c r="A32" i="2"/>
  <c r="A31" i="2"/>
  <c r="A30" i="2"/>
  <c r="A29" i="2"/>
  <c r="A28" i="2"/>
  <c r="A27" i="2"/>
  <c r="A26" i="2"/>
  <c r="A25" i="2"/>
  <c r="A24" i="2"/>
  <c r="A23" i="2"/>
  <c r="A22" i="2"/>
  <c r="A21" i="2"/>
  <c r="A20" i="2"/>
  <c r="A19" i="2"/>
  <c r="A18" i="2"/>
  <c r="A17" i="2"/>
  <c r="A16" i="2"/>
  <c r="A15" i="2"/>
  <c r="A14" i="2"/>
  <c r="A13" i="2"/>
  <c r="A12" i="2"/>
  <c r="A11" i="2"/>
  <c r="A10" i="2"/>
  <c r="A9" i="2"/>
  <c r="A8" i="2"/>
  <c r="A7" i="2"/>
  <c r="A6" i="2"/>
  <c r="A5" i="2"/>
  <c r="K31" i="1"/>
  <c r="K30" i="1"/>
  <c r="K29" i="1"/>
  <c r="K28" i="1"/>
  <c r="K27" i="1"/>
  <c r="K26" i="1"/>
  <c r="K25" i="1"/>
  <c r="K24" i="1"/>
  <c r="K23" i="1"/>
  <c r="K22" i="1"/>
  <c r="K21" i="1"/>
  <c r="K20" i="1"/>
  <c r="K19" i="1"/>
  <c r="K18" i="1"/>
  <c r="K17" i="1"/>
  <c r="K16" i="1"/>
  <c r="K15" i="1"/>
  <c r="K14" i="1"/>
  <c r="K13" i="1"/>
  <c r="K12" i="1"/>
  <c r="K11" i="1"/>
  <c r="K10" i="1"/>
  <c r="K9" i="1"/>
  <c r="K8" i="1"/>
  <c r="K7" i="1"/>
  <c r="K6" i="1"/>
  <c r="K5" i="1"/>
  <c r="G64" i="3" l="1"/>
  <c r="I64" i="3" s="1"/>
  <c r="F5" i="3"/>
  <c r="F65" i="3" s="1"/>
  <c r="I5" i="3"/>
  <c r="I65" i="3" s="1"/>
  <c r="G65" i="3" l="1"/>
</calcChain>
</file>

<file path=xl/sharedStrings.xml><?xml version="1.0" encoding="utf-8"?>
<sst xmlns="http://schemas.openxmlformats.org/spreadsheetml/2006/main" count="99" uniqueCount="97">
  <si>
    <t>📋  CATÁLOGO DE VINOS — MERCADO LIBRE ARGENTINA</t>
  </si>
  <si>
    <t>🔴 Obligatorio (no puede faltar)</t>
  </si>
  <si>
    <t>🟡 A completar (recomendado)</t>
  </si>
  <si>
    <t>🟢 Calculado automáticamente</t>
  </si>
  <si>
    <t>IDENTIFICACIÓN</t>
  </si>
  <si>
    <t>DATOS DEL PRODUCTO</t>
  </si>
  <si>
    <t>PRECIO Y STOCK</t>
  </si>
  <si>
    <t>PUBLICACIÓN MELI</t>
  </si>
  <si>
    <t>MÉTRICAS</t>
  </si>
  <si>
    <t>#</t>
  </si>
  <si>
    <t>Nombre del vino *</t>
  </si>
  <si>
    <t>Bodega *</t>
  </si>
  <si>
    <t>Varietal *</t>
  </si>
  <si>
    <t>Año cosecha</t>
  </si>
  <si>
    <t>Región / Valle</t>
  </si>
  <si>
    <t>Volumen (ml) *</t>
  </si>
  <si>
    <t>GTIN / EAN (cód. barras)*</t>
  </si>
  <si>
    <t>Precio lista (ARS) *</t>
  </si>
  <si>
    <t>Precio oferta (ARS)</t>
  </si>
  <si>
    <t>% Descuento</t>
  </si>
  <si>
    <t>Stock actual *</t>
  </si>
  <si>
    <t>Tipo publicación *</t>
  </si>
  <si>
    <t>Envío gratis</t>
  </si>
  <si>
    <t>ID publicación MeLi</t>
  </si>
  <si>
    <t>Estado publicación</t>
  </si>
  <si>
    <t>Visitas (sem)</t>
  </si>
  <si>
    <t>Ventas totales</t>
  </si>
  <si>
    <t>Preguntas pendientes</t>
  </si>
  <si>
    <t>Score calidad /10</t>
  </si>
  <si>
    <t>Lujan de Cuyo</t>
  </si>
  <si>
    <t>Chardonnay</t>
  </si>
  <si>
    <t>Reserva Las Perdices Chardonnay</t>
  </si>
  <si>
    <t>Viña las Perdices</t>
  </si>
  <si>
    <t>Reserva Las Perdices Bonarda</t>
  </si>
  <si>
    <t>Bonarda</t>
  </si>
  <si>
    <t>📸  CONTROL DE FOTOS Y CONTENIDO POR PUBLICACIÓN</t>
  </si>
  <si>
    <t>✅ = Listo  |  ⏳ = En proceso  |  ❌ = Pendiente   —   Completá una celda por foto</t>
  </si>
  <si>
    <t>Nombre del vino</t>
  </si>
  <si>
    <t>Foto frontal
(fondo blanco)</t>
  </si>
  <si>
    <t>Contraetiqueta</t>
  </si>
  <si>
    <t>Detalle corcho</t>
  </si>
  <si>
    <t>Botella completa</t>
  </si>
  <si>
    <t>Copa servida</t>
  </si>
  <si>
    <t>Pack / Combo</t>
  </si>
  <si>
    <t>Título MeLi
optimizado</t>
  </si>
  <si>
    <t>Descripción
200+ palabras</t>
  </si>
  <si>
    <t>Keywords
agregadas</t>
  </si>
  <si>
    <t>GTIN
cargado</t>
  </si>
  <si>
    <t>Cabernet Sauvignon Altocedro Año Cero 2020 Valle de Uco 750ml Vino Tinto Premium</t>
  </si>
  <si>
    <t>Cabernet Sauvignon Altocedro Año Cero 2020, Valle de Uco, Mendoza. Botella 750ml. Elaborado por Bodega Altocedro en uno de los valles más prestigiosos de Argentina, este vino tinto premium expresa con fidelidad el terroir de altura del Valle de Uco. Color rojo rubí profundo con destellos violáceos. En nariz presenta aromas intensos de frutos negros maduros como cassis y ciruela, acompañados de notas especiadas, pimiento rojo y un elegante toque mineral. En boca es estructurado, con taninos firmes pero sedosos, buena acidez y un final largo y persistente. Fermentación en depósitos de acero inoxidable con posterior crianza en madera. Temperatura de servicio ideal entre 16 y 18 grados. Maridaje perfecto con cortes de carne vacuna, asado argentino, pastas con salsas intensas, quesos estacionados y embutidos. Un vino de alta gama ideal para coleccionistas y amantes del vino fino argentino. Perfecto como regalo premium o para ocasiones especiales. Vino tinto reserva Mendoza, Cabernet Sauvignon premium Argentina, vino fino Valle de Uco</t>
  </si>
  <si>
    <t>Red Blend Renacer Milamore 2019 Lujan de Cuyo 750ml Vino Tinto Alta Gama</t>
  </si>
  <si>
    <t>Red Blend Renacer Milamore 2019, Luján de Cuyo, Mendoza. Botella 750ml. Bodega Renacer presenta Milamore, un blend de tintos de autor elaborado en Luján de Cuyo, subregión emblemática de Mendoza reconocida mundialmente por la calidad de sus vinos. Color rojo granate intenso con bordes violáceos. Nariz compleja y seductora con frutos rojos y negros maduros, notas de especias dulces, vainilla, chocolate amargo y suaves toques de roble. En boca es voluminoso, con taninos pulidos y una acidez equilibrada que otorga frescura y elegancia. Final prolongado con reminiscencias frutales y especiadas. Crianza parcial en barricas de roble francés y americano. Temperatura de servicio recomendada entre 16 y 18 grados. Ideal para maridar con asado de tira, costillas de cordero, pasta con ragú, quesos duros y tabla de fiambres gourmet. Un vino de alta expresión, ideal como regalo corporativo o para celebraciones especiales. Vino tinto blend premium Mendoza, Red Blend alta gama Argentina, vino fino Luján de Cuyo.</t>
  </si>
  <si>
    <t>📊  SEGUIMIENTO DIARIO DE VENTAS — META: 1 VENTA/DÍA</t>
  </si>
  <si>
    <t>Completá Fecha, Producto vendido, Cantidad y Precio. El resto se calcula solo.</t>
  </si>
  <si>
    <t>Fecha *</t>
  </si>
  <si>
    <t>Producto vendido *</t>
  </si>
  <si>
    <t>Cantidad *</t>
  </si>
  <si>
    <t>Precio unitario *</t>
  </si>
  <si>
    <t>Total venta</t>
  </si>
  <si>
    <t>Comisión MeLi</t>
  </si>
  <si>
    <t>Neto recibido</t>
  </si>
  <si>
    <t>Costo envío</t>
  </si>
  <si>
    <t>Ganancia neta</t>
  </si>
  <si>
    <t>Notas / Canal</t>
  </si>
  <si>
    <t>TOTALES</t>
  </si>
  <si>
    <t>ℹ️  GUÍA DE USO — CÓMO COMPLETAR ESTE ARCHIVO</t>
  </si>
  <si>
    <t>PASO 1</t>
  </si>
  <si>
    <t>Empezar por acá  →  Hoja: 🍷 Catálogo de Vinos</t>
  </si>
  <si>
    <t>Completá una fila por cada vino.</t>
  </si>
  <si>
    <t>Las celdas ROJAS son obligatorias para que la API de MeLi pueda crear la publicación.</t>
  </si>
  <si>
    <t>Las celdas AMARILLAS son recomendadas para mejorar el score de calidad.</t>
  </si>
  <si>
    <t>Las celdas VERDES se calculan solas, no las toques.</t>
  </si>
  <si>
    <t>PASO 2</t>
  </si>
  <si>
    <t>Controlar fotos  →  Hoja: 📸 Fotos y Contenido</t>
  </si>
  <si>
    <t>Los nombres de los vinos se copian automáticamente del Catálogo.</t>
  </si>
  <si>
    <t>Para cada vino, marcá el estado de cada foto: ✅ Listo / ⏳ En proceso / ❌ Pendiente.</t>
  </si>
  <si>
    <t>Necesitás mínimo 6 fotos por publicación para el score máximo.</t>
  </si>
  <si>
    <t>PASO 3</t>
  </si>
  <si>
    <t>Registrar ventas  →  Hoja: 📊 Seguimiento Ventas</t>
  </si>
  <si>
    <t>Cada vez que vendas, agregá una fila con Fecha, Producto, Cantidad y Precio.</t>
  </si>
  <si>
    <t>Total, comisión MeLi (13% Gold), neto y ganancia se calculan solos.</t>
  </si>
  <si>
    <t>Meta diaria: 1 venta. Revisá los totales abajo para ver tu progreso.</t>
  </si>
  <si>
    <t>GTIN / EAN</t>
  </si>
  <si>
    <t>¿Dónde lo encuentro?</t>
  </si>
  <si>
    <t>Es el código de barras impreso en la contraetiqueta de cada botella.</t>
  </si>
  <si>
    <t>Buscalo con tu celular en la app de cámara o en una app de scanner.</t>
  </si>
  <si>
    <t>Sin GTIN el score de calidad de MeLi baja significativamente.</t>
  </si>
  <si>
    <t>TIPO PUB.</t>
  </si>
  <si>
    <t>Diferencia clave</t>
  </si>
  <si>
    <t>Gratuita: 0% comisión, casi sin visibilidad. No usar.</t>
  </si>
  <si>
    <t>Clásica: ~8% comisión, visibilidad media.</t>
  </si>
  <si>
    <t>Gold: ~13% comisión, alta visibilidad. Recomendado.</t>
  </si>
  <si>
    <t>Gold Premium: ~16% comisión, máxima visibilidad. Para alta gama.</t>
  </si>
  <si>
    <t>API MELI</t>
  </si>
  <si>
    <t>Para carga masiva</t>
  </si>
  <si>
    <t>Cuando tengas este Excel completo, el script Python lo lee y sube todo automáticamente.</t>
  </si>
  <si>
    <t>Necesitás: APP_ID + SECRET de developers.mercadolibre.com.ar + fotos en carpetas.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</si>
</sst>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
    <numFmt numFmtId="165" formatCode="dd/mm/yyyy"/>
  </numFmts>
  <fonts count="20" x14ac:knownFonts="1">
    <font>
      <sz val="11"/>
      <color theme="1"/>
      <name val="Calibri"/>
      <scheme val="minor"/>
    </font>
    <font>
      <b/>
      <sz val="14"/>
      <color rgb="FFFFE600"/>
      <name val="Arial"/>
    </font>
    <font>
      <sz val="11"/>
      <name val="Calibri"/>
    </font>
    <font>
      <sz val="9"/>
      <color rgb="FFC62828"/>
      <name val="Arial"/>
    </font>
    <font>
      <sz val="9"/>
      <color rgb="FF6D4C41"/>
      <name val="Arial"/>
    </font>
    <font>
      <sz val="9"/>
      <color rgb="FF2E7D32"/>
      <name val="Arial"/>
    </font>
    <font>
      <b/>
      <sz val="9"/>
      <color rgb="FFFFFFFF"/>
      <name val="Arial"/>
    </font>
    <font>
      <b/>
      <sz val="11"/>
      <color rgb="FFFFE600"/>
      <name val="Arial"/>
    </font>
    <font>
      <b/>
      <sz val="11"/>
      <color rgb="FFFFFFFF"/>
      <name val="Arial"/>
    </font>
    <font>
      <b/>
      <sz val="9"/>
      <color rgb="FFD4A853"/>
      <name val="Arial"/>
    </font>
    <font>
      <sz val="10"/>
      <color rgb="FF333333"/>
      <name val="Arial"/>
    </font>
    <font>
      <sz val="10"/>
      <color rgb="FF1B5E20"/>
      <name val="Arial"/>
    </font>
    <font>
      <i/>
      <sz val="10"/>
      <color rgb="FF555555"/>
      <name val="Arial"/>
    </font>
    <font>
      <b/>
      <sz val="11"/>
      <color theme="1"/>
      <name val="Arial"/>
    </font>
    <font>
      <sz val="10"/>
      <color rgb="FF1A237E"/>
      <name val="Arial"/>
    </font>
    <font>
      <sz val="11"/>
      <color theme="1"/>
      <name val="Calibri"/>
    </font>
    <font>
      <sz val="11"/>
      <color theme="1"/>
      <name val="Calibri"/>
      <scheme val="minor"/>
    </font>
    <font>
      <sz val="10"/>
      <color theme="1"/>
      <name val="Arial"/>
    </font>
    <font>
      <b/>
      <sz val="10"/>
      <color rgb="FF1B5E20"/>
      <name val="Arial"/>
    </font>
    <font>
      <b/>
      <sz val="10"/>
      <color rgb="FFD4A853"/>
      <name val="Arial"/>
    </font>
  </fonts>
  <fills count="14">
    <fill>
      <patternFill patternType="none"/>
    </fill>
    <fill>
      <patternFill patternType="gray125"/>
    </fill>
    <fill>
      <patternFill patternType="solid">
        <fgColor rgb="FF1A1A2E"/>
        <bgColor rgb="FF1A1A2E"/>
      </patternFill>
    </fill>
    <fill>
      <patternFill patternType="solid">
        <fgColor rgb="FFFFEBEE"/>
        <bgColor rgb="FFFFEBEE"/>
      </patternFill>
    </fill>
    <fill>
      <patternFill patternType="solid">
        <fgColor rgb="FFFFFDE7"/>
        <bgColor rgb="FFFFFDE7"/>
      </patternFill>
    </fill>
    <fill>
      <patternFill patternType="solid">
        <fgColor rgb="FFE8F5E9"/>
        <bgColor rgb="FFE8F5E9"/>
      </patternFill>
    </fill>
    <fill>
      <patternFill patternType="solid">
        <fgColor rgb="FF16213E"/>
        <bgColor rgb="FF16213E"/>
      </patternFill>
    </fill>
    <fill>
      <patternFill patternType="solid">
        <fgColor rgb="FF7B1521"/>
        <bgColor rgb="FF7B1521"/>
      </patternFill>
    </fill>
    <fill>
      <patternFill patternType="solid">
        <fgColor rgb="FF1B5E20"/>
        <bgColor rgb="FF1B5E20"/>
      </patternFill>
    </fill>
    <fill>
      <patternFill patternType="solid">
        <fgColor rgb="FF2D1A20"/>
        <bgColor rgb="FF2D1A20"/>
      </patternFill>
    </fill>
    <fill>
      <patternFill patternType="solid">
        <fgColor rgb="FFFFFF00"/>
        <bgColor rgb="FFFFFF00"/>
      </patternFill>
    </fill>
    <fill>
      <patternFill patternType="solid">
        <fgColor rgb="FFF5F5F5"/>
        <bgColor rgb="FFF5F5F5"/>
      </patternFill>
    </fill>
    <fill>
      <patternFill patternType="solid">
        <fgColor rgb="FFFFFFFF"/>
        <bgColor rgb="FFFFFFFF"/>
      </patternFill>
    </fill>
    <fill>
      <patternFill patternType="solid">
        <fgColor rgb="FFFAFAFA"/>
        <bgColor rgb="FFFAFAFA"/>
      </patternFill>
    </fill>
  </fills>
  <borders count="7">
    <border>
      <left/>
      <right/>
      <top/>
      <bottom/>
      <diagonal/>
    </border>
    <border>
      <left/>
      <right/>
      <top/>
      <bottom/>
      <diagonal/>
    </border>
    <border>
      <left/>
      <right/>
      <top/>
      <bottom/>
      <diagonal/>
    </border>
    <border>
      <left/>
      <right/>
      <top/>
      <bottom/>
      <diagonal/>
    </border>
    <border>
      <left style="thin">
        <color rgb="FFBDBDBD"/>
      </left>
      <right style="thin">
        <color rgb="FFBDBDBD"/>
      </right>
      <top style="thin">
        <color rgb="FFBDBDBD"/>
      </top>
      <bottom style="thin">
        <color rgb="FFBDBDBD"/>
      </bottom>
      <diagonal/>
    </border>
    <border>
      <left style="thin">
        <color rgb="FFBDBDBD"/>
      </left>
      <right/>
      <top style="thin">
        <color rgb="FFBDBDBD"/>
      </top>
      <bottom style="thin">
        <color rgb="FFBDBDBD"/>
      </bottom>
      <diagonal/>
    </border>
    <border>
      <left/>
      <right/>
      <top style="thin">
        <color rgb="FFBDBDBD"/>
      </top>
      <bottom style="thin">
        <color rgb="FFBDBDBD"/>
      </bottom>
      <diagonal/>
    </border>
  </borders>
  <cellStyleXfs count="1">
    <xf numFmtId="0" fontId="0" fillId="0" borderId="0"/>
  </cellStyleXfs>
  <cellXfs count="44">
    <xf numFmtId="0" fontId="0" fillId="0" borderId="0" xfId="0"/>
    <xf numFmtId="0" fontId="7" fillId="2" borderId="4" xfId="0" applyFont="1" applyFill="1" applyBorder="1" applyAlignment="1">
      <alignment horizontal="center" vertical="center"/>
    </xf>
    <xf numFmtId="0" fontId="7" fillId="7" borderId="4" xfId="0" applyFont="1" applyFill="1" applyBorder="1" applyAlignment="1">
      <alignment horizontal="center" vertical="center"/>
    </xf>
    <xf numFmtId="0" fontId="8" fillId="8" borderId="4" xfId="0" applyFont="1" applyFill="1" applyBorder="1" applyAlignment="1">
      <alignment horizontal="center" vertical="center"/>
    </xf>
    <xf numFmtId="0" fontId="9" fillId="9" borderId="4" xfId="0" applyFont="1" applyFill="1" applyBorder="1" applyAlignment="1">
      <alignment horizontal="center" vertical="center"/>
    </xf>
    <xf numFmtId="0" fontId="10" fillId="3" borderId="4" xfId="0" applyFont="1" applyFill="1" applyBorder="1" applyAlignment="1">
      <alignment horizontal="left" vertical="center" wrapText="1"/>
    </xf>
    <xf numFmtId="0" fontId="10" fillId="4" borderId="4" xfId="0" applyFont="1" applyFill="1" applyBorder="1" applyAlignment="1">
      <alignment horizontal="left" vertical="center" wrapText="1"/>
    </xf>
    <xf numFmtId="3" fontId="10" fillId="3" borderId="4" xfId="0" applyNumberFormat="1" applyFont="1" applyFill="1" applyBorder="1" applyAlignment="1">
      <alignment horizontal="left" vertical="center" wrapText="1"/>
    </xf>
    <xf numFmtId="164" fontId="10" fillId="3" borderId="4" xfId="0" applyNumberFormat="1" applyFont="1" applyFill="1" applyBorder="1" applyAlignment="1">
      <alignment horizontal="left" vertical="center" wrapText="1"/>
    </xf>
    <xf numFmtId="164" fontId="10" fillId="4" borderId="4" xfId="0" applyNumberFormat="1" applyFont="1" applyFill="1" applyBorder="1" applyAlignment="1">
      <alignment horizontal="left" vertical="center" wrapText="1"/>
    </xf>
    <xf numFmtId="9" fontId="11" fillId="5" borderId="4" xfId="0" applyNumberFormat="1" applyFont="1" applyFill="1" applyBorder="1" applyAlignment="1">
      <alignment horizontal="center" vertical="center"/>
    </xf>
    <xf numFmtId="3" fontId="10" fillId="10" borderId="4" xfId="0" applyNumberFormat="1" applyFont="1" applyFill="1" applyBorder="1" applyAlignment="1">
      <alignment horizontal="left" vertical="center" wrapText="1"/>
    </xf>
    <xf numFmtId="0" fontId="13" fillId="0" borderId="0" xfId="0" applyFont="1" applyAlignment="1">
      <alignment horizontal="center" vertical="center" wrapText="1"/>
    </xf>
    <xf numFmtId="0" fontId="14" fillId="5" borderId="4" xfId="0" applyFont="1" applyFill="1" applyBorder="1" applyAlignment="1">
      <alignment horizontal="left" vertical="center"/>
    </xf>
    <xf numFmtId="0" fontId="15" fillId="12" borderId="4" xfId="0" applyFont="1" applyFill="1" applyBorder="1" applyAlignment="1">
      <alignment horizontal="center" vertical="center"/>
    </xf>
    <xf numFmtId="0" fontId="16" fillId="0" borderId="0" xfId="0" applyFont="1" applyAlignment="1">
      <alignment vertical="center"/>
    </xf>
    <xf numFmtId="0" fontId="15" fillId="12" borderId="4" xfId="0" applyFont="1" applyFill="1" applyBorder="1" applyAlignment="1">
      <alignment vertical="center"/>
    </xf>
    <xf numFmtId="0" fontId="15" fillId="4" borderId="4" xfId="0" applyFont="1" applyFill="1" applyBorder="1" applyAlignment="1">
      <alignment horizontal="center" vertical="center"/>
    </xf>
    <xf numFmtId="0" fontId="15" fillId="4" borderId="4" xfId="0" applyFont="1" applyFill="1" applyBorder="1" applyAlignment="1">
      <alignment vertical="center"/>
    </xf>
    <xf numFmtId="165" fontId="17" fillId="3" borderId="4" xfId="0" applyNumberFormat="1" applyFont="1" applyFill="1" applyBorder="1" applyAlignment="1">
      <alignment horizontal="center" vertical="center"/>
    </xf>
    <xf numFmtId="0" fontId="17" fillId="3" borderId="4" xfId="0" applyFont="1" applyFill="1" applyBorder="1" applyAlignment="1">
      <alignment horizontal="left" vertical="center"/>
    </xf>
    <xf numFmtId="3" fontId="17" fillId="3" borderId="4" xfId="0" applyNumberFormat="1" applyFont="1" applyFill="1" applyBorder="1" applyAlignment="1">
      <alignment horizontal="center" vertical="center"/>
    </xf>
    <xf numFmtId="164" fontId="17" fillId="3" borderId="4" xfId="0" applyNumberFormat="1" applyFont="1" applyFill="1" applyBorder="1" applyAlignment="1">
      <alignment horizontal="center" vertical="center"/>
    </xf>
    <xf numFmtId="164" fontId="11" fillId="5" borderId="4" xfId="0" applyNumberFormat="1" applyFont="1" applyFill="1" applyBorder="1" applyAlignment="1">
      <alignment horizontal="center" vertical="center"/>
    </xf>
    <xf numFmtId="164" fontId="17" fillId="4" borderId="4" xfId="0" applyNumberFormat="1" applyFont="1" applyFill="1" applyBorder="1" applyAlignment="1">
      <alignment horizontal="center" vertical="center"/>
    </xf>
    <xf numFmtId="164" fontId="18" fillId="5" borderId="4" xfId="0" applyNumberFormat="1" applyFont="1" applyFill="1" applyBorder="1" applyAlignment="1">
      <alignment horizontal="center" vertical="center"/>
    </xf>
    <xf numFmtId="0" fontId="17" fillId="12" borderId="4" xfId="0" applyFont="1" applyFill="1" applyBorder="1" applyAlignment="1">
      <alignment horizontal="left" vertical="center"/>
    </xf>
    <xf numFmtId="0" fontId="17" fillId="4" borderId="4" xfId="0" applyFont="1" applyFill="1" applyBorder="1" applyAlignment="1">
      <alignment horizontal="left" vertical="center"/>
    </xf>
    <xf numFmtId="3" fontId="7" fillId="2" borderId="4" xfId="0" applyNumberFormat="1" applyFont="1" applyFill="1" applyBorder="1" applyAlignment="1">
      <alignment horizontal="center" vertical="center"/>
    </xf>
    <xf numFmtId="164" fontId="7" fillId="2" borderId="4" xfId="0" applyNumberFormat="1" applyFont="1" applyFill="1" applyBorder="1" applyAlignment="1">
      <alignment horizontal="center" vertical="center"/>
    </xf>
    <xf numFmtId="0" fontId="19" fillId="9" borderId="4" xfId="0" applyFont="1" applyFill="1" applyBorder="1" applyAlignment="1">
      <alignment horizontal="left" vertical="center"/>
    </xf>
    <xf numFmtId="0" fontId="15" fillId="0" borderId="4" xfId="0" applyFont="1" applyBorder="1"/>
    <xf numFmtId="0" fontId="10" fillId="12" borderId="4" xfId="0" applyFont="1" applyFill="1" applyBorder="1" applyAlignment="1">
      <alignment horizontal="left" vertical="center" wrapText="1"/>
    </xf>
    <xf numFmtId="0" fontId="10" fillId="13" borderId="4" xfId="0" applyFont="1" applyFill="1" applyBorder="1" applyAlignment="1">
      <alignment horizontal="left" vertical="center" wrapText="1"/>
    </xf>
    <xf numFmtId="0" fontId="6" fillId="6" borderId="1" xfId="0" applyFont="1" applyFill="1" applyBorder="1" applyAlignment="1">
      <alignment horizontal="center" vertical="center"/>
    </xf>
    <xf numFmtId="0" fontId="2" fillId="0" borderId="2" xfId="0" applyFont="1" applyBorder="1"/>
    <xf numFmtId="0" fontId="2" fillId="0" borderId="3" xfId="0" applyFont="1" applyBorder="1"/>
    <xf numFmtId="0" fontId="1" fillId="2" borderId="1" xfId="0" applyFont="1" applyFill="1" applyBorder="1" applyAlignment="1">
      <alignment horizontal="center" vertical="center"/>
    </xf>
    <xf numFmtId="0" fontId="3" fillId="3" borderId="1" xfId="0" applyFont="1" applyFill="1" applyBorder="1" applyAlignment="1">
      <alignment horizontal="center" vertical="center"/>
    </xf>
    <xf numFmtId="0" fontId="4" fillId="4" borderId="1" xfId="0" applyFont="1" applyFill="1" applyBorder="1" applyAlignment="1">
      <alignment horizontal="center" vertical="center"/>
    </xf>
    <xf numFmtId="0" fontId="5" fillId="5" borderId="1" xfId="0" applyFont="1" applyFill="1" applyBorder="1" applyAlignment="1">
      <alignment horizontal="center" vertical="center"/>
    </xf>
    <xf numFmtId="0" fontId="12" fillId="11" borderId="1" xfId="0" applyFont="1" applyFill="1" applyBorder="1" applyAlignment="1">
      <alignment horizontal="center" vertical="center"/>
    </xf>
    <xf numFmtId="0" fontId="7" fillId="2" borderId="5" xfId="0" applyFont="1" applyFill="1" applyBorder="1" applyAlignment="1">
      <alignment horizontal="center" vertical="center"/>
    </xf>
    <xf numFmtId="0" fontId="2" fillId="0" borderId="6" xfId="0" applyFont="1" applyBorder="1"/>
  </cellXfs>
  <cellStyles count="1">
    <cellStyle name="Normal" xfId="0" builtinId="0"/>
  </cellStyles>
  <dxfs count="4">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1">
    <tableStyle name="📸 Fotos y Contenido-style" pivot="0" count="4" xr9:uid="{00000000-0011-0000-FFFF-FFFF00000000}">
      <tableStyleElement type="wholeTable" size="0" dxfId="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ino_Contenido_Multimedia" displayName="Vino_Contenido_Multimedia" ref="A4:K29">
  <tableColumns count="11">
    <tableColumn id="1" xr3:uid="{00000000-0010-0000-0000-000001000000}" name="Nombre del vino"/>
    <tableColumn id="2" xr3:uid="{00000000-0010-0000-0000-000002000000}" name="Foto frontal_x000a_(fondo blanco)"/>
    <tableColumn id="3" xr3:uid="{00000000-0010-0000-0000-000003000000}" name="Contraetiqueta"/>
    <tableColumn id="4" xr3:uid="{00000000-0010-0000-0000-000004000000}" name="Detalle corcho"/>
    <tableColumn id="5" xr3:uid="{00000000-0010-0000-0000-000005000000}" name="Botella completa"/>
    <tableColumn id="6" xr3:uid="{00000000-0010-0000-0000-000006000000}" name="Copa servida"/>
    <tableColumn id="7" xr3:uid="{00000000-0010-0000-0000-000007000000}" name="Pack / Combo"/>
    <tableColumn id="8" xr3:uid="{00000000-0010-0000-0000-000008000000}" name="Título MeLi_x000a_optimizado"/>
    <tableColumn id="9" xr3:uid="{00000000-0010-0000-0000-000009000000}" name="Descripción_x000a_200+ palabras"/>
    <tableColumn id="10" xr3:uid="{00000000-0010-0000-0000-00000A000000}" name="Keywords_x000a_agregadas"/>
    <tableColumn id="11" xr3:uid="{00000000-0010-0000-0000-00000B000000}" name="GTIN_x000a_cargado"/>
  </tableColumns>
  <tableStyleInfo name="📸 Fotos y Contenido-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977"/>
  <sheetViews>
    <sheetView showGridLines="0" workbookViewId="0">
      <pane ySplit="4" topLeftCell="A5" activePane="bottomLeft" state="frozen"/>
      <selection pane="bottomLeft" activeCell="D8" sqref="D8"/>
    </sheetView>
  </sheetViews>
  <sheetFormatPr baseColWidth="10" defaultColWidth="14.44140625" defaultRowHeight="15" customHeight="1" x14ac:dyDescent="0.3"/>
  <cols>
    <col min="1" max="1" width="6" customWidth="1"/>
    <col min="2" max="2" width="28" customWidth="1"/>
    <col min="3" max="3" width="18" customWidth="1"/>
    <col min="4" max="4" width="14" customWidth="1"/>
    <col min="5" max="5" width="8" customWidth="1"/>
    <col min="6" max="7" width="10" customWidth="1"/>
    <col min="8" max="8" width="20" customWidth="1"/>
    <col min="9" max="10" width="14" customWidth="1"/>
    <col min="11" max="12" width="10" customWidth="1"/>
    <col min="13" max="13" width="18" customWidth="1"/>
    <col min="14" max="14" width="12" customWidth="1"/>
    <col min="15" max="15" width="22" customWidth="1"/>
    <col min="16" max="16" width="14" customWidth="1"/>
    <col min="17" max="19" width="12" customWidth="1"/>
    <col min="20" max="20" width="16" customWidth="1"/>
    <col min="21" max="26" width="8.6640625" customWidth="1"/>
  </cols>
  <sheetData>
    <row r="1" spans="1:20" ht="36" customHeight="1" x14ac:dyDescent="0.3">
      <c r="A1" s="37" t="s">
        <v>0</v>
      </c>
      <c r="B1" s="35"/>
      <c r="C1" s="35"/>
      <c r="D1" s="35"/>
      <c r="E1" s="35"/>
      <c r="F1" s="35"/>
      <c r="G1" s="35"/>
      <c r="H1" s="35"/>
      <c r="I1" s="35"/>
      <c r="J1" s="35"/>
      <c r="K1" s="35"/>
      <c r="L1" s="35"/>
      <c r="M1" s="35"/>
      <c r="N1" s="35"/>
      <c r="O1" s="35"/>
      <c r="P1" s="35"/>
      <c r="Q1" s="35"/>
      <c r="R1" s="35"/>
      <c r="S1" s="35"/>
      <c r="T1" s="36"/>
    </row>
    <row r="2" spans="1:20" ht="21.75" customHeight="1" x14ac:dyDescent="0.3">
      <c r="A2" s="38" t="s">
        <v>1</v>
      </c>
      <c r="B2" s="35"/>
      <c r="C2" s="35"/>
      <c r="D2" s="35"/>
      <c r="E2" s="35"/>
      <c r="F2" s="35"/>
      <c r="G2" s="36"/>
      <c r="H2" s="39" t="s">
        <v>2</v>
      </c>
      <c r="I2" s="35"/>
      <c r="J2" s="35"/>
      <c r="K2" s="35"/>
      <c r="L2" s="35"/>
      <c r="M2" s="35"/>
      <c r="N2" s="36"/>
      <c r="O2" s="40" t="s">
        <v>3</v>
      </c>
      <c r="P2" s="35"/>
      <c r="Q2" s="35"/>
      <c r="R2" s="35"/>
      <c r="S2" s="35"/>
      <c r="T2" s="36"/>
    </row>
    <row r="3" spans="1:20" ht="19.5" customHeight="1" x14ac:dyDescent="0.3">
      <c r="A3" s="34" t="s">
        <v>4</v>
      </c>
      <c r="B3" s="35"/>
      <c r="C3" s="36"/>
      <c r="D3" s="34" t="s">
        <v>5</v>
      </c>
      <c r="E3" s="35"/>
      <c r="F3" s="35"/>
      <c r="G3" s="35"/>
      <c r="H3" s="36"/>
      <c r="I3" s="34" t="s">
        <v>6</v>
      </c>
      <c r="J3" s="35"/>
      <c r="K3" s="35"/>
      <c r="L3" s="36"/>
      <c r="M3" s="34" t="s">
        <v>7</v>
      </c>
      <c r="N3" s="35"/>
      <c r="O3" s="35"/>
      <c r="P3" s="36"/>
      <c r="Q3" s="34" t="s">
        <v>8</v>
      </c>
      <c r="R3" s="35"/>
      <c r="S3" s="35"/>
      <c r="T3" s="36"/>
    </row>
    <row r="4" spans="1:20" ht="42" customHeight="1" x14ac:dyDescent="0.3">
      <c r="A4" s="1" t="s">
        <v>9</v>
      </c>
      <c r="B4" s="2" t="s">
        <v>10</v>
      </c>
      <c r="C4" s="2" t="s">
        <v>11</v>
      </c>
      <c r="D4" s="2" t="s">
        <v>12</v>
      </c>
      <c r="E4" s="1" t="s">
        <v>13</v>
      </c>
      <c r="F4" s="1" t="s">
        <v>14</v>
      </c>
      <c r="G4" s="2" t="s">
        <v>15</v>
      </c>
      <c r="H4" s="2" t="s">
        <v>16</v>
      </c>
      <c r="I4" s="2" t="s">
        <v>17</v>
      </c>
      <c r="J4" s="1" t="s">
        <v>18</v>
      </c>
      <c r="K4" s="3" t="s">
        <v>19</v>
      </c>
      <c r="L4" s="2" t="s">
        <v>20</v>
      </c>
      <c r="M4" s="2" t="s">
        <v>21</v>
      </c>
      <c r="N4" s="1" t="s">
        <v>22</v>
      </c>
      <c r="O4" s="1" t="s">
        <v>23</v>
      </c>
      <c r="P4" s="1" t="s">
        <v>24</v>
      </c>
      <c r="Q4" s="1" t="s">
        <v>25</v>
      </c>
      <c r="R4" s="1" t="s">
        <v>26</v>
      </c>
      <c r="S4" s="1" t="s">
        <v>27</v>
      </c>
      <c r="T4" s="1" t="s">
        <v>28</v>
      </c>
    </row>
    <row r="5" spans="1:20" ht="21.75" customHeight="1" x14ac:dyDescent="0.3">
      <c r="A5" s="4">
        <v>17</v>
      </c>
      <c r="B5" s="5" t="s">
        <v>31</v>
      </c>
      <c r="C5" s="5" t="s">
        <v>32</v>
      </c>
      <c r="D5" s="5" t="s">
        <v>30</v>
      </c>
      <c r="E5" s="6">
        <v>2020</v>
      </c>
      <c r="F5" s="6" t="s">
        <v>29</v>
      </c>
      <c r="G5" s="7">
        <v>750</v>
      </c>
      <c r="H5" s="5">
        <v>7798123970685</v>
      </c>
      <c r="I5" s="8">
        <v>12500</v>
      </c>
      <c r="J5" s="9"/>
      <c r="K5" s="10" t="str">
        <f t="shared" ref="K5:K31" si="0">IF(AND(I5&gt;0,J5&gt;0),1-J5/I5,"")</f>
        <v/>
      </c>
      <c r="L5" s="11">
        <v>3</v>
      </c>
      <c r="M5" s="5"/>
      <c r="N5" s="6"/>
      <c r="O5" s="6"/>
      <c r="P5" s="6"/>
      <c r="Q5" s="6"/>
      <c r="R5" s="6"/>
      <c r="S5" s="6"/>
      <c r="T5" s="6"/>
    </row>
    <row r="6" spans="1:20" ht="21.75" customHeight="1" x14ac:dyDescent="0.3">
      <c r="A6" s="4">
        <v>18</v>
      </c>
      <c r="B6" s="5" t="s">
        <v>33</v>
      </c>
      <c r="C6" s="5" t="s">
        <v>32</v>
      </c>
      <c r="D6" s="5" t="s">
        <v>34</v>
      </c>
      <c r="E6" s="6">
        <v>2018</v>
      </c>
      <c r="F6" s="6" t="s">
        <v>29</v>
      </c>
      <c r="G6" s="7">
        <v>750</v>
      </c>
      <c r="H6" s="5">
        <v>7798123970265</v>
      </c>
      <c r="I6" s="8">
        <v>11500</v>
      </c>
      <c r="J6" s="9"/>
      <c r="K6" s="10" t="str">
        <f t="shared" si="0"/>
        <v/>
      </c>
      <c r="L6" s="7">
        <v>1</v>
      </c>
      <c r="M6" s="5"/>
      <c r="N6" s="6"/>
      <c r="O6" s="6"/>
      <c r="P6" s="6"/>
      <c r="Q6" s="6"/>
      <c r="R6" s="6"/>
      <c r="S6" s="6"/>
      <c r="T6" s="6"/>
    </row>
    <row r="7" spans="1:20" ht="21.75" customHeight="1" x14ac:dyDescent="0.3">
      <c r="A7" s="4">
        <v>26</v>
      </c>
      <c r="B7" s="5"/>
      <c r="C7" s="5"/>
      <c r="D7" s="5"/>
      <c r="E7" s="6"/>
      <c r="F7" s="6"/>
      <c r="G7" s="7"/>
      <c r="H7" s="5"/>
      <c r="I7" s="8"/>
      <c r="J7" s="9"/>
      <c r="K7" s="10" t="str">
        <f t="shared" si="0"/>
        <v/>
      </c>
      <c r="L7" s="7"/>
      <c r="M7" s="5"/>
      <c r="N7" s="6"/>
      <c r="O7" s="6"/>
      <c r="P7" s="6"/>
      <c r="Q7" s="6"/>
      <c r="R7" s="6"/>
      <c r="S7" s="6"/>
      <c r="T7" s="6"/>
    </row>
    <row r="8" spans="1:20" ht="21.75" customHeight="1" x14ac:dyDescent="0.3">
      <c r="A8" s="4">
        <v>27</v>
      </c>
      <c r="B8" s="5"/>
      <c r="C8" s="5"/>
      <c r="D8" s="5"/>
      <c r="E8" s="6"/>
      <c r="F8" s="6"/>
      <c r="G8" s="7"/>
      <c r="H8" s="5"/>
      <c r="I8" s="8"/>
      <c r="J8" s="9"/>
      <c r="K8" s="10" t="str">
        <f t="shared" si="0"/>
        <v/>
      </c>
      <c r="L8" s="7"/>
      <c r="M8" s="5"/>
      <c r="N8" s="6"/>
      <c r="O8" s="6"/>
      <c r="P8" s="6"/>
      <c r="Q8" s="6"/>
      <c r="R8" s="6"/>
      <c r="S8" s="6"/>
      <c r="T8" s="6"/>
    </row>
    <row r="9" spans="1:20" ht="21.75" customHeight="1" x14ac:dyDescent="0.3">
      <c r="A9" s="4">
        <v>28</v>
      </c>
      <c r="B9" s="5"/>
      <c r="C9" s="5"/>
      <c r="D9" s="5"/>
      <c r="E9" s="6"/>
      <c r="F9" s="6"/>
      <c r="G9" s="7"/>
      <c r="H9" s="5"/>
      <c r="I9" s="8"/>
      <c r="J9" s="9"/>
      <c r="K9" s="10" t="str">
        <f t="shared" si="0"/>
        <v/>
      </c>
      <c r="L9" s="7"/>
      <c r="M9" s="5"/>
      <c r="N9" s="6"/>
      <c r="O9" s="6"/>
      <c r="P9" s="6"/>
      <c r="Q9" s="6"/>
      <c r="R9" s="6"/>
      <c r="S9" s="6"/>
      <c r="T9" s="6"/>
    </row>
    <row r="10" spans="1:20" ht="21.75" customHeight="1" x14ac:dyDescent="0.3">
      <c r="A10" s="4">
        <v>29</v>
      </c>
      <c r="B10" s="5"/>
      <c r="C10" s="5"/>
      <c r="D10" s="5"/>
      <c r="E10" s="6"/>
      <c r="F10" s="6"/>
      <c r="G10" s="7"/>
      <c r="H10" s="5"/>
      <c r="I10" s="8"/>
      <c r="J10" s="9"/>
      <c r="K10" s="10" t="str">
        <f t="shared" si="0"/>
        <v/>
      </c>
      <c r="L10" s="7"/>
      <c r="M10" s="5"/>
      <c r="N10" s="6"/>
      <c r="O10" s="6"/>
      <c r="P10" s="6"/>
      <c r="Q10" s="6"/>
      <c r="R10" s="6"/>
      <c r="S10" s="6"/>
      <c r="T10" s="6"/>
    </row>
    <row r="11" spans="1:20" ht="21.75" customHeight="1" x14ac:dyDescent="0.3">
      <c r="A11" s="4">
        <v>30</v>
      </c>
      <c r="B11" s="5"/>
      <c r="C11" s="5"/>
      <c r="D11" s="5"/>
      <c r="E11" s="6"/>
      <c r="F11" s="6"/>
      <c r="G11" s="7"/>
      <c r="H11" s="5"/>
      <c r="I11" s="8"/>
      <c r="J11" s="9"/>
      <c r="K11" s="10" t="str">
        <f t="shared" si="0"/>
        <v/>
      </c>
      <c r="L11" s="7"/>
      <c r="M11" s="5"/>
      <c r="N11" s="6"/>
      <c r="O11" s="6"/>
      <c r="P11" s="6"/>
      <c r="Q11" s="6"/>
      <c r="R11" s="6"/>
      <c r="S11" s="6"/>
      <c r="T11" s="6"/>
    </row>
    <row r="12" spans="1:20" ht="21.75" customHeight="1" x14ac:dyDescent="0.3">
      <c r="A12" s="4">
        <v>31</v>
      </c>
      <c r="B12" s="5"/>
      <c r="C12" s="5"/>
      <c r="D12" s="5"/>
      <c r="E12" s="6"/>
      <c r="F12" s="6"/>
      <c r="G12" s="7"/>
      <c r="H12" s="5"/>
      <c r="I12" s="8"/>
      <c r="J12" s="9"/>
      <c r="K12" s="10" t="str">
        <f t="shared" si="0"/>
        <v/>
      </c>
      <c r="L12" s="7"/>
      <c r="M12" s="5"/>
      <c r="N12" s="6"/>
      <c r="O12" s="6"/>
      <c r="P12" s="6"/>
      <c r="Q12" s="6"/>
      <c r="R12" s="6"/>
      <c r="S12" s="6"/>
      <c r="T12" s="6"/>
    </row>
    <row r="13" spans="1:20" ht="21.75" customHeight="1" x14ac:dyDescent="0.3">
      <c r="A13" s="4">
        <v>32</v>
      </c>
      <c r="B13" s="5"/>
      <c r="C13" s="5"/>
      <c r="D13" s="5"/>
      <c r="E13" s="6"/>
      <c r="F13" s="6"/>
      <c r="G13" s="7"/>
      <c r="H13" s="5"/>
      <c r="I13" s="8"/>
      <c r="J13" s="9"/>
      <c r="K13" s="10" t="str">
        <f t="shared" si="0"/>
        <v/>
      </c>
      <c r="L13" s="7"/>
      <c r="M13" s="5"/>
      <c r="N13" s="6"/>
      <c r="O13" s="6"/>
      <c r="P13" s="6"/>
      <c r="Q13" s="6"/>
      <c r="R13" s="6"/>
      <c r="S13" s="6"/>
      <c r="T13" s="6"/>
    </row>
    <row r="14" spans="1:20" ht="21.75" customHeight="1" x14ac:dyDescent="0.3">
      <c r="A14" s="4">
        <v>33</v>
      </c>
      <c r="B14" s="5"/>
      <c r="C14" s="5"/>
      <c r="D14" s="5"/>
      <c r="E14" s="6"/>
      <c r="F14" s="6"/>
      <c r="G14" s="7"/>
      <c r="H14" s="5"/>
      <c r="I14" s="8"/>
      <c r="J14" s="9"/>
      <c r="K14" s="10" t="str">
        <f t="shared" si="0"/>
        <v/>
      </c>
      <c r="L14" s="7"/>
      <c r="M14" s="5"/>
      <c r="N14" s="6"/>
      <c r="O14" s="6"/>
      <c r="P14" s="6"/>
      <c r="Q14" s="6"/>
      <c r="R14" s="6"/>
      <c r="S14" s="6"/>
      <c r="T14" s="6"/>
    </row>
    <row r="15" spans="1:20" ht="21.75" customHeight="1" x14ac:dyDescent="0.3">
      <c r="A15" s="4">
        <v>34</v>
      </c>
      <c r="B15" s="5"/>
      <c r="C15" s="5"/>
      <c r="D15" s="5"/>
      <c r="E15" s="6"/>
      <c r="F15" s="6"/>
      <c r="G15" s="7"/>
      <c r="H15" s="5"/>
      <c r="I15" s="8"/>
      <c r="J15" s="9"/>
      <c r="K15" s="10" t="str">
        <f t="shared" si="0"/>
        <v/>
      </c>
      <c r="L15" s="7"/>
      <c r="M15" s="5"/>
      <c r="N15" s="6"/>
      <c r="O15" s="6"/>
      <c r="P15" s="6"/>
      <c r="Q15" s="6"/>
      <c r="R15" s="6"/>
      <c r="S15" s="6"/>
      <c r="T15" s="6"/>
    </row>
    <row r="16" spans="1:20" ht="21.75" customHeight="1" x14ac:dyDescent="0.3">
      <c r="A16" s="4">
        <v>35</v>
      </c>
      <c r="B16" s="5"/>
      <c r="C16" s="5"/>
      <c r="D16" s="5"/>
      <c r="E16" s="6"/>
      <c r="F16" s="6"/>
      <c r="G16" s="7"/>
      <c r="H16" s="5"/>
      <c r="I16" s="8"/>
      <c r="J16" s="9"/>
      <c r="K16" s="10" t="str">
        <f t="shared" si="0"/>
        <v/>
      </c>
      <c r="L16" s="7"/>
      <c r="M16" s="5"/>
      <c r="N16" s="6"/>
      <c r="O16" s="6"/>
      <c r="P16" s="6"/>
      <c r="Q16" s="6"/>
      <c r="R16" s="6"/>
      <c r="S16" s="6"/>
      <c r="T16" s="6"/>
    </row>
    <row r="17" spans="1:20" ht="21.75" customHeight="1" x14ac:dyDescent="0.3">
      <c r="A17" s="4">
        <v>36</v>
      </c>
      <c r="B17" s="5"/>
      <c r="C17" s="5"/>
      <c r="D17" s="5"/>
      <c r="E17" s="6"/>
      <c r="F17" s="6"/>
      <c r="G17" s="7"/>
      <c r="H17" s="5"/>
      <c r="I17" s="8"/>
      <c r="J17" s="9"/>
      <c r="K17" s="10" t="str">
        <f t="shared" si="0"/>
        <v/>
      </c>
      <c r="L17" s="7"/>
      <c r="M17" s="5"/>
      <c r="N17" s="6"/>
      <c r="O17" s="6"/>
      <c r="P17" s="6"/>
      <c r="Q17" s="6"/>
      <c r="R17" s="6"/>
      <c r="S17" s="6"/>
      <c r="T17" s="6"/>
    </row>
    <row r="18" spans="1:20" ht="21.75" customHeight="1" x14ac:dyDescent="0.3">
      <c r="A18" s="4">
        <v>37</v>
      </c>
      <c r="B18" s="5"/>
      <c r="C18" s="5"/>
      <c r="D18" s="5"/>
      <c r="E18" s="6"/>
      <c r="F18" s="6"/>
      <c r="G18" s="7"/>
      <c r="H18" s="5"/>
      <c r="I18" s="8"/>
      <c r="J18" s="9"/>
      <c r="K18" s="10" t="str">
        <f t="shared" si="0"/>
        <v/>
      </c>
      <c r="L18" s="7"/>
      <c r="M18" s="5"/>
      <c r="N18" s="6"/>
      <c r="O18" s="6"/>
      <c r="P18" s="6"/>
      <c r="Q18" s="6"/>
      <c r="R18" s="6"/>
      <c r="S18" s="6"/>
      <c r="T18" s="6"/>
    </row>
    <row r="19" spans="1:20" ht="21.75" customHeight="1" x14ac:dyDescent="0.3">
      <c r="A19" s="4">
        <v>38</v>
      </c>
      <c r="B19" s="5"/>
      <c r="C19" s="5"/>
      <c r="D19" s="5"/>
      <c r="E19" s="6"/>
      <c r="F19" s="6"/>
      <c r="G19" s="7"/>
      <c r="H19" s="5"/>
      <c r="I19" s="8"/>
      <c r="J19" s="9"/>
      <c r="K19" s="10" t="str">
        <f t="shared" si="0"/>
        <v/>
      </c>
      <c r="L19" s="7"/>
      <c r="M19" s="5"/>
      <c r="N19" s="6"/>
      <c r="O19" s="6"/>
      <c r="P19" s="6"/>
      <c r="Q19" s="6"/>
      <c r="R19" s="6"/>
      <c r="S19" s="6"/>
      <c r="T19" s="6"/>
    </row>
    <row r="20" spans="1:20" ht="21.75" customHeight="1" x14ac:dyDescent="0.3">
      <c r="A20" s="4">
        <v>39</v>
      </c>
      <c r="B20" s="5"/>
      <c r="C20" s="5"/>
      <c r="D20" s="5"/>
      <c r="E20" s="6"/>
      <c r="F20" s="6"/>
      <c r="G20" s="7"/>
      <c r="H20" s="5"/>
      <c r="I20" s="8"/>
      <c r="J20" s="9"/>
      <c r="K20" s="10" t="str">
        <f t="shared" si="0"/>
        <v/>
      </c>
      <c r="L20" s="7"/>
      <c r="M20" s="5"/>
      <c r="N20" s="6"/>
      <c r="O20" s="6"/>
      <c r="P20" s="6"/>
      <c r="Q20" s="6"/>
      <c r="R20" s="6"/>
      <c r="S20" s="6"/>
      <c r="T20" s="6"/>
    </row>
    <row r="21" spans="1:20" ht="21.75" customHeight="1" x14ac:dyDescent="0.3">
      <c r="A21" s="4">
        <v>40</v>
      </c>
      <c r="B21" s="5"/>
      <c r="C21" s="5"/>
      <c r="D21" s="5"/>
      <c r="E21" s="6"/>
      <c r="F21" s="6"/>
      <c r="G21" s="7"/>
      <c r="H21" s="5"/>
      <c r="I21" s="8"/>
      <c r="J21" s="9"/>
      <c r="K21" s="10" t="str">
        <f t="shared" si="0"/>
        <v/>
      </c>
      <c r="L21" s="7"/>
      <c r="M21" s="5"/>
      <c r="N21" s="6"/>
      <c r="O21" s="6"/>
      <c r="P21" s="6"/>
      <c r="Q21" s="6"/>
      <c r="R21" s="6"/>
      <c r="S21" s="6"/>
      <c r="T21" s="6"/>
    </row>
    <row r="22" spans="1:20" ht="21.75" customHeight="1" x14ac:dyDescent="0.3">
      <c r="A22" s="4">
        <v>41</v>
      </c>
      <c r="B22" s="5"/>
      <c r="C22" s="5"/>
      <c r="D22" s="5"/>
      <c r="E22" s="6"/>
      <c r="F22" s="6"/>
      <c r="G22" s="7"/>
      <c r="H22" s="5"/>
      <c r="I22" s="8"/>
      <c r="J22" s="9"/>
      <c r="K22" s="10" t="str">
        <f t="shared" si="0"/>
        <v/>
      </c>
      <c r="L22" s="7"/>
      <c r="M22" s="5"/>
      <c r="N22" s="6"/>
      <c r="O22" s="6"/>
      <c r="P22" s="6"/>
      <c r="Q22" s="6"/>
      <c r="R22" s="6"/>
      <c r="S22" s="6"/>
      <c r="T22" s="6"/>
    </row>
    <row r="23" spans="1:20" ht="21.75" customHeight="1" x14ac:dyDescent="0.3">
      <c r="A23" s="4">
        <v>42</v>
      </c>
      <c r="B23" s="5"/>
      <c r="C23" s="5"/>
      <c r="D23" s="5"/>
      <c r="E23" s="6"/>
      <c r="F23" s="6"/>
      <c r="G23" s="7"/>
      <c r="H23" s="5"/>
      <c r="I23" s="8"/>
      <c r="J23" s="9"/>
      <c r="K23" s="10" t="str">
        <f t="shared" si="0"/>
        <v/>
      </c>
      <c r="L23" s="7"/>
      <c r="M23" s="5"/>
      <c r="N23" s="6"/>
      <c r="O23" s="6"/>
      <c r="P23" s="6"/>
      <c r="Q23" s="6"/>
      <c r="R23" s="6"/>
      <c r="S23" s="6"/>
      <c r="T23" s="6"/>
    </row>
    <row r="24" spans="1:20" ht="21.75" customHeight="1" x14ac:dyDescent="0.3">
      <c r="A24" s="4">
        <v>43</v>
      </c>
      <c r="B24" s="5"/>
      <c r="C24" s="5"/>
      <c r="D24" s="5"/>
      <c r="E24" s="6"/>
      <c r="F24" s="6"/>
      <c r="G24" s="7"/>
      <c r="H24" s="5"/>
      <c r="I24" s="8"/>
      <c r="J24" s="9"/>
      <c r="K24" s="10" t="str">
        <f t="shared" si="0"/>
        <v/>
      </c>
      <c r="L24" s="7"/>
      <c r="M24" s="5"/>
      <c r="N24" s="6"/>
      <c r="O24" s="6"/>
      <c r="P24" s="6"/>
      <c r="Q24" s="6"/>
      <c r="R24" s="6"/>
      <c r="S24" s="6"/>
      <c r="T24" s="6"/>
    </row>
    <row r="25" spans="1:20" ht="21.75" customHeight="1" x14ac:dyDescent="0.3">
      <c r="A25" s="4">
        <v>44</v>
      </c>
      <c r="B25" s="5"/>
      <c r="C25" s="5"/>
      <c r="D25" s="5"/>
      <c r="E25" s="6"/>
      <c r="F25" s="6"/>
      <c r="G25" s="7"/>
      <c r="H25" s="5"/>
      <c r="I25" s="8"/>
      <c r="J25" s="9"/>
      <c r="K25" s="10" t="str">
        <f t="shared" si="0"/>
        <v/>
      </c>
      <c r="L25" s="7"/>
      <c r="M25" s="5"/>
      <c r="N25" s="6"/>
      <c r="O25" s="6"/>
      <c r="P25" s="6"/>
      <c r="Q25" s="6"/>
      <c r="R25" s="6"/>
      <c r="S25" s="6"/>
      <c r="T25" s="6"/>
    </row>
    <row r="26" spans="1:20" ht="21.75" customHeight="1" x14ac:dyDescent="0.3">
      <c r="A26" s="4">
        <v>45</v>
      </c>
      <c r="B26" s="5"/>
      <c r="C26" s="5"/>
      <c r="D26" s="5"/>
      <c r="E26" s="6"/>
      <c r="F26" s="6"/>
      <c r="G26" s="7"/>
      <c r="H26" s="5"/>
      <c r="I26" s="8"/>
      <c r="J26" s="9"/>
      <c r="K26" s="10" t="str">
        <f t="shared" si="0"/>
        <v/>
      </c>
      <c r="L26" s="7"/>
      <c r="M26" s="5"/>
      <c r="N26" s="6"/>
      <c r="O26" s="6"/>
      <c r="P26" s="6"/>
      <c r="Q26" s="6"/>
      <c r="R26" s="6"/>
      <c r="S26" s="6"/>
      <c r="T26" s="6"/>
    </row>
    <row r="27" spans="1:20" ht="21.75" customHeight="1" x14ac:dyDescent="0.3">
      <c r="A27" s="4">
        <v>46</v>
      </c>
      <c r="B27" s="5"/>
      <c r="C27" s="5"/>
      <c r="D27" s="5"/>
      <c r="E27" s="6"/>
      <c r="F27" s="6"/>
      <c r="G27" s="7"/>
      <c r="H27" s="5"/>
      <c r="I27" s="8"/>
      <c r="J27" s="9"/>
      <c r="K27" s="10" t="str">
        <f t="shared" si="0"/>
        <v/>
      </c>
      <c r="L27" s="7"/>
      <c r="M27" s="5"/>
      <c r="N27" s="6"/>
      <c r="O27" s="6"/>
      <c r="P27" s="6"/>
      <c r="Q27" s="6"/>
      <c r="R27" s="6"/>
      <c r="S27" s="6"/>
      <c r="T27" s="6"/>
    </row>
    <row r="28" spans="1:20" ht="21.75" customHeight="1" x14ac:dyDescent="0.3">
      <c r="A28" s="4">
        <v>47</v>
      </c>
      <c r="B28" s="5"/>
      <c r="C28" s="5"/>
      <c r="D28" s="5"/>
      <c r="E28" s="6"/>
      <c r="F28" s="6"/>
      <c r="G28" s="7"/>
      <c r="H28" s="5"/>
      <c r="I28" s="8"/>
      <c r="J28" s="9"/>
      <c r="K28" s="10" t="str">
        <f t="shared" si="0"/>
        <v/>
      </c>
      <c r="L28" s="7"/>
      <c r="M28" s="5"/>
      <c r="N28" s="6"/>
      <c r="O28" s="6"/>
      <c r="P28" s="6"/>
      <c r="Q28" s="6"/>
      <c r="R28" s="6"/>
      <c r="S28" s="6"/>
      <c r="T28" s="6"/>
    </row>
    <row r="29" spans="1:20" ht="21.75" customHeight="1" x14ac:dyDescent="0.3">
      <c r="A29" s="4">
        <v>48</v>
      </c>
      <c r="B29" s="5"/>
      <c r="C29" s="5"/>
      <c r="D29" s="5"/>
      <c r="E29" s="6"/>
      <c r="F29" s="6"/>
      <c r="G29" s="7"/>
      <c r="H29" s="5"/>
      <c r="I29" s="8"/>
      <c r="J29" s="9"/>
      <c r="K29" s="10" t="str">
        <f t="shared" si="0"/>
        <v/>
      </c>
      <c r="L29" s="7"/>
      <c r="M29" s="5"/>
      <c r="N29" s="6"/>
      <c r="O29" s="6"/>
      <c r="P29" s="6"/>
      <c r="Q29" s="6"/>
      <c r="R29" s="6"/>
      <c r="S29" s="6"/>
      <c r="T29" s="6"/>
    </row>
    <row r="30" spans="1:20" ht="21.75" customHeight="1" x14ac:dyDescent="0.3">
      <c r="A30" s="4">
        <v>49</v>
      </c>
      <c r="B30" s="5"/>
      <c r="C30" s="5"/>
      <c r="D30" s="5"/>
      <c r="E30" s="6"/>
      <c r="F30" s="6"/>
      <c r="G30" s="7"/>
      <c r="H30" s="5"/>
      <c r="I30" s="8"/>
      <c r="J30" s="9"/>
      <c r="K30" s="10" t="str">
        <f t="shared" si="0"/>
        <v/>
      </c>
      <c r="L30" s="7"/>
      <c r="M30" s="5"/>
      <c r="N30" s="6"/>
      <c r="O30" s="6"/>
      <c r="P30" s="6"/>
      <c r="Q30" s="6"/>
      <c r="R30" s="6"/>
      <c r="S30" s="6"/>
      <c r="T30" s="6"/>
    </row>
    <row r="31" spans="1:20" ht="21.75" customHeight="1" x14ac:dyDescent="0.3">
      <c r="A31" s="4">
        <v>50</v>
      </c>
      <c r="B31" s="5"/>
      <c r="C31" s="5"/>
      <c r="D31" s="5"/>
      <c r="E31" s="6"/>
      <c r="F31" s="6"/>
      <c r="G31" s="7"/>
      <c r="H31" s="5"/>
      <c r="I31" s="8"/>
      <c r="J31" s="9"/>
      <c r="K31" s="10" t="str">
        <f t="shared" si="0"/>
        <v/>
      </c>
      <c r="L31" s="7"/>
      <c r="M31" s="5"/>
      <c r="N31" s="6"/>
      <c r="O31" s="6"/>
      <c r="P31" s="6"/>
      <c r="Q31" s="6"/>
      <c r="R31" s="6"/>
      <c r="S31" s="6"/>
      <c r="T31" s="6"/>
    </row>
    <row r="32" spans="1:20"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sheetData>
  <mergeCells count="9">
    <mergeCell ref="M3:P3"/>
    <mergeCell ref="Q3:T3"/>
    <mergeCell ref="A1:T1"/>
    <mergeCell ref="A2:G2"/>
    <mergeCell ref="H2:N2"/>
    <mergeCell ref="O2:T2"/>
    <mergeCell ref="A3:C3"/>
    <mergeCell ref="D3:H3"/>
    <mergeCell ref="I3:L3"/>
  </mergeCells>
  <dataValidations count="3">
    <dataValidation type="list" allowBlank="1" sqref="M5:M31" xr:uid="{00000000-0002-0000-0000-000000000000}">
      <formula1>"Gratuita,Clásica,Gold,Gold Premium"</formula1>
    </dataValidation>
    <dataValidation type="list" allowBlank="1" sqref="N5:N31" xr:uid="{00000000-0002-0000-0000-000001000000}">
      <formula1>"Sí,No,Desde monto mínimo"</formula1>
    </dataValidation>
    <dataValidation type="list" allowBlank="1" sqref="P5:P31" xr:uid="{00000000-0002-0000-0000-000002000000}">
      <formula1>"Activa,Pausada,Borrador,Finalizada"</formula1>
    </dataValidation>
  </dataValidations>
  <pageMargins left="0.75" right="0.75" top="1" bottom="1"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000"/>
  <sheetViews>
    <sheetView showGridLines="0" tabSelected="1" topLeftCell="C1" workbookViewId="0">
      <pane ySplit="4" topLeftCell="A17" activePane="bottomLeft" state="frozen"/>
      <selection pane="bottomLeft" activeCell="H29" sqref="H29"/>
    </sheetView>
  </sheetViews>
  <sheetFormatPr baseColWidth="10" defaultColWidth="14.44140625" defaultRowHeight="15" customHeight="1" x14ac:dyDescent="0.3"/>
  <cols>
    <col min="1" max="1" width="32.109375" customWidth="1"/>
    <col min="2" max="2" width="10.109375" customWidth="1"/>
    <col min="3" max="5" width="10" customWidth="1"/>
    <col min="6" max="6" width="9.44140625" customWidth="1"/>
    <col min="7" max="7" width="12" customWidth="1"/>
    <col min="8" max="8" width="85.88671875" customWidth="1"/>
    <col min="9" max="9" width="23.33203125" customWidth="1"/>
    <col min="10" max="10" width="18.33203125" customWidth="1"/>
    <col min="11" max="11" width="21.88671875" customWidth="1"/>
    <col min="12" max="26" width="8.6640625" customWidth="1"/>
  </cols>
  <sheetData>
    <row r="1" spans="1:11" ht="36" customHeight="1" x14ac:dyDescent="0.3">
      <c r="A1" s="37" t="s">
        <v>35</v>
      </c>
      <c r="B1" s="35"/>
      <c r="C1" s="35"/>
      <c r="D1" s="35"/>
      <c r="E1" s="35"/>
      <c r="F1" s="35"/>
      <c r="G1" s="35"/>
      <c r="H1" s="35"/>
      <c r="I1" s="35"/>
      <c r="J1" s="35"/>
      <c r="K1" s="36"/>
    </row>
    <row r="2" spans="1:11" ht="19.5" customHeight="1" x14ac:dyDescent="0.3">
      <c r="A2" s="41" t="s">
        <v>36</v>
      </c>
      <c r="B2" s="35"/>
      <c r="C2" s="35"/>
      <c r="D2" s="35"/>
      <c r="E2" s="35"/>
      <c r="F2" s="35"/>
      <c r="G2" s="35"/>
      <c r="H2" s="35"/>
      <c r="I2" s="35"/>
      <c r="J2" s="35"/>
      <c r="K2" s="36"/>
    </row>
    <row r="3" spans="1:11" ht="6" customHeight="1" x14ac:dyDescent="0.3"/>
    <row r="4" spans="1:11" ht="42" customHeight="1" x14ac:dyDescent="0.3">
      <c r="A4" s="12" t="s">
        <v>37</v>
      </c>
      <c r="B4" s="12" t="s">
        <v>38</v>
      </c>
      <c r="C4" s="12" t="s">
        <v>39</v>
      </c>
      <c r="D4" s="12" t="s">
        <v>40</v>
      </c>
      <c r="E4" s="12" t="s">
        <v>41</v>
      </c>
      <c r="F4" s="12" t="s">
        <v>42</v>
      </c>
      <c r="G4" s="12" t="s">
        <v>43</v>
      </c>
      <c r="H4" s="12" t="s">
        <v>44</v>
      </c>
      <c r="I4" s="12" t="s">
        <v>45</v>
      </c>
      <c r="J4" s="12" t="s">
        <v>46</v>
      </c>
      <c r="K4" s="12" t="s">
        <v>47</v>
      </c>
    </row>
    <row r="5" spans="1:11" ht="21.75" customHeight="1" x14ac:dyDescent="0.3">
      <c r="A5" s="13" t="e">
        <f>IF('🍷 Catálogo de Vinos'!#REF!&lt;&gt;"", '🍷 Catálogo de Vinos'!#REF!, "")</f>
        <v>#REF!</v>
      </c>
      <c r="B5" s="14"/>
      <c r="C5" s="14"/>
      <c r="D5" s="14"/>
      <c r="E5" s="14"/>
      <c r="F5" s="14"/>
      <c r="G5" s="14"/>
      <c r="H5" s="14" t="s">
        <v>48</v>
      </c>
      <c r="I5" s="15" t="s">
        <v>49</v>
      </c>
      <c r="J5" s="14"/>
      <c r="K5" s="16"/>
    </row>
    <row r="6" spans="1:11" ht="21.75" customHeight="1" x14ac:dyDescent="0.3">
      <c r="A6" s="13" t="e">
        <f>IF('🍷 Catálogo de Vinos'!#REF!&lt;&gt;"", '🍷 Catálogo de Vinos'!#REF!, "")</f>
        <v>#REF!</v>
      </c>
      <c r="B6" s="17"/>
      <c r="C6" s="17"/>
      <c r="D6" s="17"/>
      <c r="E6" s="17"/>
      <c r="F6" s="17"/>
      <c r="G6" s="17"/>
      <c r="H6" s="17" t="s">
        <v>50</v>
      </c>
      <c r="I6" s="15" t="s">
        <v>51</v>
      </c>
      <c r="J6" s="17"/>
      <c r="K6" s="18"/>
    </row>
    <row r="7" spans="1:11" ht="21.75" customHeight="1" x14ac:dyDescent="0.3">
      <c r="A7" s="13" t="e">
        <f>IF('🍷 Catálogo de Vinos'!#REF!&lt;&gt;"", '🍷 Catálogo de Vinos'!#REF!, "")</f>
        <v>#REF!</v>
      </c>
      <c r="B7" s="14"/>
      <c r="C7" s="14"/>
      <c r="D7" s="14"/>
      <c r="E7" s="14"/>
      <c r="F7" s="14"/>
      <c r="G7" s="14"/>
      <c r="H7" s="14"/>
      <c r="I7" s="15"/>
      <c r="J7" s="14"/>
      <c r="K7" s="16"/>
    </row>
    <row r="8" spans="1:11" ht="21.75" customHeight="1" x14ac:dyDescent="0.3">
      <c r="A8" s="13" t="e">
        <f>IF('🍷 Catálogo de Vinos'!#REF!&lt;&gt;"", '🍷 Catálogo de Vinos'!#REF!, "")</f>
        <v>#REF!</v>
      </c>
      <c r="B8" s="17"/>
      <c r="C8" s="17"/>
      <c r="D8" s="17"/>
      <c r="E8" s="17"/>
      <c r="F8" s="17"/>
      <c r="G8" s="17"/>
      <c r="H8" s="17"/>
      <c r="I8" s="15"/>
      <c r="J8" s="17"/>
      <c r="K8" s="18"/>
    </row>
    <row r="9" spans="1:11" ht="21.75" customHeight="1" x14ac:dyDescent="0.3">
      <c r="A9" s="13" t="e">
        <f>IF('🍷 Catálogo de Vinos'!#REF!&lt;&gt;"", '🍷 Catálogo de Vinos'!#REF!, "")</f>
        <v>#REF!</v>
      </c>
      <c r="B9" s="14"/>
      <c r="C9" s="14"/>
      <c r="D9" s="14"/>
      <c r="E9" s="14"/>
      <c r="F9" s="14"/>
      <c r="G9" s="14"/>
      <c r="H9" s="14"/>
      <c r="I9" s="15"/>
      <c r="J9" s="14"/>
      <c r="K9" s="16"/>
    </row>
    <row r="10" spans="1:11" ht="21.75" customHeight="1" x14ac:dyDescent="0.3">
      <c r="A10" s="13" t="e">
        <f>IF('🍷 Catálogo de Vinos'!#REF!&lt;&gt;"", '🍷 Catálogo de Vinos'!#REF!, "")</f>
        <v>#REF!</v>
      </c>
      <c r="B10" s="17"/>
      <c r="C10" s="17"/>
      <c r="D10" s="17"/>
      <c r="E10" s="17"/>
      <c r="F10" s="17"/>
      <c r="G10" s="17"/>
      <c r="H10" s="17"/>
      <c r="I10" s="15"/>
      <c r="J10" s="17"/>
      <c r="K10" s="18"/>
    </row>
    <row r="11" spans="1:11" ht="21.75" customHeight="1" x14ac:dyDescent="0.3">
      <c r="A11" s="13" t="e">
        <f>IF('🍷 Catálogo de Vinos'!#REF!&lt;&gt;"", '🍷 Catálogo de Vinos'!#REF!, "")</f>
        <v>#REF!</v>
      </c>
      <c r="B11" s="14"/>
      <c r="C11" s="14"/>
      <c r="D11" s="14"/>
      <c r="E11" s="14"/>
      <c r="F11" s="14"/>
      <c r="G11" s="14"/>
      <c r="H11" s="14"/>
      <c r="I11" s="15"/>
      <c r="J11" s="14"/>
      <c r="K11" s="16"/>
    </row>
    <row r="12" spans="1:11" ht="21.75" customHeight="1" x14ac:dyDescent="0.3">
      <c r="A12" s="13" t="e">
        <f>IF('🍷 Catálogo de Vinos'!#REF!&lt;&gt;"", '🍷 Catálogo de Vinos'!#REF!, "")</f>
        <v>#REF!</v>
      </c>
      <c r="B12" s="17"/>
      <c r="C12" s="17"/>
      <c r="D12" s="17"/>
      <c r="E12" s="17"/>
      <c r="F12" s="17"/>
      <c r="G12" s="17"/>
      <c r="H12" s="17"/>
      <c r="I12" s="15"/>
      <c r="J12" s="17"/>
      <c r="K12" s="18"/>
    </row>
    <row r="13" spans="1:11" ht="21.75" customHeight="1" x14ac:dyDescent="0.3">
      <c r="A13" s="13" t="e">
        <f>IF('🍷 Catálogo de Vinos'!#REF!&lt;&gt;"", '🍷 Catálogo de Vinos'!#REF!, "")</f>
        <v>#REF!</v>
      </c>
      <c r="B13" s="14"/>
      <c r="C13" s="14"/>
      <c r="D13" s="14"/>
      <c r="E13" s="14"/>
      <c r="F13" s="14"/>
      <c r="G13" s="14"/>
      <c r="H13" s="14"/>
      <c r="I13" s="15"/>
      <c r="J13" s="14"/>
      <c r="K13" s="16"/>
    </row>
    <row r="14" spans="1:11" ht="21.75" customHeight="1" x14ac:dyDescent="0.3">
      <c r="A14" s="13" t="e">
        <f>IF('🍷 Catálogo de Vinos'!#REF!&lt;&gt;"", '🍷 Catálogo de Vinos'!#REF!, "")</f>
        <v>#REF!</v>
      </c>
      <c r="B14" s="17"/>
      <c r="C14" s="17"/>
      <c r="D14" s="17"/>
      <c r="E14" s="17"/>
      <c r="F14" s="17"/>
      <c r="G14" s="17"/>
      <c r="H14" s="17"/>
      <c r="I14" s="15"/>
      <c r="J14" s="17"/>
      <c r="K14" s="18"/>
    </row>
    <row r="15" spans="1:11" ht="21.75" customHeight="1" x14ac:dyDescent="0.3">
      <c r="A15" s="13" t="e">
        <f>IF('🍷 Catálogo de Vinos'!#REF!&lt;&gt;"", '🍷 Catálogo de Vinos'!#REF!, "")</f>
        <v>#REF!</v>
      </c>
      <c r="B15" s="14"/>
      <c r="C15" s="14"/>
      <c r="D15" s="14"/>
      <c r="E15" s="14"/>
      <c r="F15" s="14"/>
      <c r="G15" s="14"/>
      <c r="H15" s="14"/>
      <c r="I15" s="15"/>
      <c r="J15" s="14"/>
      <c r="K15" s="16"/>
    </row>
    <row r="16" spans="1:11" ht="21.75" customHeight="1" x14ac:dyDescent="0.3">
      <c r="A16" s="13" t="e">
        <f>IF('🍷 Catálogo de Vinos'!#REF!&lt;&gt;"", '🍷 Catálogo de Vinos'!#REF!, "")</f>
        <v>#REF!</v>
      </c>
      <c r="B16" s="17"/>
      <c r="C16" s="17"/>
      <c r="D16" s="17"/>
      <c r="E16" s="17"/>
      <c r="F16" s="17"/>
      <c r="G16" s="17"/>
      <c r="H16" s="17"/>
      <c r="I16" s="15"/>
      <c r="J16" s="17"/>
      <c r="K16" s="18"/>
    </row>
    <row r="17" spans="1:11" ht="21.75" customHeight="1" x14ac:dyDescent="0.3">
      <c r="A17" s="13" t="e">
        <f>IF('🍷 Catálogo de Vinos'!#REF!&lt;&gt;"", '🍷 Catálogo de Vinos'!#REF!, "")</f>
        <v>#REF!</v>
      </c>
      <c r="B17" s="14"/>
      <c r="C17" s="14"/>
      <c r="D17" s="14"/>
      <c r="E17" s="14"/>
      <c r="F17" s="14"/>
      <c r="G17" s="14"/>
      <c r="H17" s="14"/>
      <c r="I17" s="15"/>
      <c r="J17" s="14"/>
      <c r="K17" s="16"/>
    </row>
    <row r="18" spans="1:11" ht="21.75" customHeight="1" x14ac:dyDescent="0.3">
      <c r="A18" s="13" t="e">
        <f>IF('🍷 Catálogo de Vinos'!#REF!&lt;&gt;"", '🍷 Catálogo de Vinos'!#REF!, "")</f>
        <v>#REF!</v>
      </c>
      <c r="B18" s="17"/>
      <c r="C18" s="17"/>
      <c r="D18" s="17"/>
      <c r="E18" s="17"/>
      <c r="F18" s="17"/>
      <c r="G18" s="17"/>
      <c r="H18" s="17"/>
      <c r="I18" s="15"/>
      <c r="J18" s="17"/>
      <c r="K18" s="18"/>
    </row>
    <row r="19" spans="1:11" ht="21.75" customHeight="1" x14ac:dyDescent="0.3">
      <c r="A19" s="13" t="e">
        <f>IF('🍷 Catálogo de Vinos'!#REF!&lt;&gt;"", '🍷 Catálogo de Vinos'!#REF!, "")</f>
        <v>#REF!</v>
      </c>
      <c r="B19" s="14"/>
      <c r="C19" s="14"/>
      <c r="D19" s="14"/>
      <c r="E19" s="14"/>
      <c r="F19" s="14"/>
      <c r="G19" s="14"/>
      <c r="H19" s="14"/>
      <c r="I19" s="15"/>
      <c r="J19" s="14"/>
      <c r="K19" s="16"/>
    </row>
    <row r="20" spans="1:11" ht="21.75" customHeight="1" x14ac:dyDescent="0.3">
      <c r="A20" s="13" t="e">
        <f>IF('🍷 Catálogo de Vinos'!#REF!&lt;&gt;"", '🍷 Catálogo de Vinos'!#REF!, "")</f>
        <v>#REF!</v>
      </c>
      <c r="B20" s="17"/>
      <c r="C20" s="17"/>
      <c r="D20" s="17"/>
      <c r="E20" s="17"/>
      <c r="F20" s="17"/>
      <c r="G20" s="17"/>
      <c r="H20" s="17"/>
      <c r="I20" s="15"/>
      <c r="J20" s="17"/>
      <c r="K20" s="18"/>
    </row>
    <row r="21" spans="1:11" ht="21.75" customHeight="1" x14ac:dyDescent="0.3">
      <c r="A21" s="13" t="str">
        <f>IF('🍷 Catálogo de Vinos'!B5&lt;&gt;"", '🍷 Catálogo de Vinos'!B5, "")</f>
        <v>Reserva Las Perdices Chardonnay</v>
      </c>
      <c r="B21" s="14"/>
      <c r="C21" s="14"/>
      <c r="D21" s="14"/>
      <c r="E21" s="14"/>
      <c r="F21" s="14"/>
      <c r="G21" s="14"/>
      <c r="H21" s="14"/>
      <c r="I21" s="15"/>
      <c r="J21" s="14"/>
      <c r="K21" s="16"/>
    </row>
    <row r="22" spans="1:11" ht="21.75" customHeight="1" x14ac:dyDescent="0.3">
      <c r="A22" s="13" t="str">
        <f>IF('🍷 Catálogo de Vinos'!B6&lt;&gt;"", '🍷 Catálogo de Vinos'!B6, "")</f>
        <v>Reserva Las Perdices Bonarda</v>
      </c>
      <c r="B22" s="17"/>
      <c r="C22" s="17"/>
      <c r="D22" s="17"/>
      <c r="E22" s="17"/>
      <c r="F22" s="17"/>
      <c r="G22" s="17"/>
      <c r="H22" s="17"/>
      <c r="I22" s="15"/>
      <c r="J22" s="17"/>
      <c r="K22" s="18"/>
    </row>
    <row r="23" spans="1:11" ht="21.75" customHeight="1" x14ac:dyDescent="0.3">
      <c r="A23" s="13" t="e">
        <f>IF('🍷 Catálogo de Vinos'!#REF!&lt;&gt;"", '🍷 Catálogo de Vinos'!#REF!, "")</f>
        <v>#REF!</v>
      </c>
      <c r="B23" s="14"/>
      <c r="C23" s="14"/>
      <c r="D23" s="14"/>
      <c r="E23" s="14"/>
      <c r="F23" s="14"/>
      <c r="G23" s="14"/>
      <c r="H23" s="14"/>
      <c r="I23" s="15"/>
      <c r="J23" s="14"/>
      <c r="K23" s="16"/>
    </row>
    <row r="24" spans="1:11" ht="21.75" customHeight="1" x14ac:dyDescent="0.3">
      <c r="A24" s="13" t="e">
        <f>IF('🍷 Catálogo de Vinos'!#REF!&lt;&gt;"", '🍷 Catálogo de Vinos'!#REF!, "")</f>
        <v>#REF!</v>
      </c>
      <c r="B24" s="17"/>
      <c r="C24" s="17"/>
      <c r="D24" s="17"/>
      <c r="E24" s="17"/>
      <c r="F24" s="17"/>
      <c r="G24" s="17"/>
      <c r="H24" s="17"/>
      <c r="I24" s="15"/>
      <c r="J24" s="17"/>
      <c r="K24" s="18"/>
    </row>
    <row r="25" spans="1:11" ht="21.75" customHeight="1" x14ac:dyDescent="0.3">
      <c r="A25" s="13" t="e">
        <f>IF('🍷 Catálogo de Vinos'!#REF!&lt;&gt;"", '🍷 Catálogo de Vinos'!#REF!, "")</f>
        <v>#REF!</v>
      </c>
      <c r="B25" s="14"/>
      <c r="C25" s="14"/>
      <c r="D25" s="14"/>
      <c r="E25" s="14"/>
      <c r="F25" s="14"/>
      <c r="G25" s="14"/>
      <c r="H25" s="14"/>
      <c r="I25" s="15"/>
      <c r="J25" s="14"/>
      <c r="K25" s="16"/>
    </row>
    <row r="26" spans="1:11" ht="21.75" customHeight="1" x14ac:dyDescent="0.3">
      <c r="A26" s="13" t="e">
        <f>IF('🍷 Catálogo de Vinos'!#REF!&lt;&gt;"", '🍷 Catálogo de Vinos'!#REF!, "")</f>
        <v>#REF!</v>
      </c>
      <c r="B26" s="17"/>
      <c r="C26" s="17"/>
      <c r="D26" s="17"/>
      <c r="E26" s="17"/>
      <c r="F26" s="17"/>
      <c r="G26" s="17"/>
      <c r="H26" s="17"/>
      <c r="I26" s="15"/>
      <c r="J26" s="17"/>
      <c r="K26" s="18"/>
    </row>
    <row r="27" spans="1:11" ht="21.75" customHeight="1" x14ac:dyDescent="0.3">
      <c r="A27" s="13" t="e">
        <f>IF('🍷 Catálogo de Vinos'!#REF!&lt;&gt;"", '🍷 Catálogo de Vinos'!#REF!, "")</f>
        <v>#REF!</v>
      </c>
      <c r="B27" s="14"/>
      <c r="C27" s="14"/>
      <c r="D27" s="14"/>
      <c r="E27" s="14"/>
      <c r="F27" s="14"/>
      <c r="G27" s="14"/>
      <c r="H27" s="14"/>
      <c r="I27" s="15"/>
      <c r="J27" s="14"/>
      <c r="K27" s="16"/>
    </row>
    <row r="28" spans="1:11" ht="21.75" customHeight="1" x14ac:dyDescent="0.3">
      <c r="A28" s="13" t="e">
        <f>IF('🍷 Catálogo de Vinos'!#REF!&lt;&gt;"", '🍷 Catálogo de Vinos'!#REF!, "")</f>
        <v>#REF!</v>
      </c>
      <c r="B28" s="17"/>
      <c r="C28" s="17"/>
      <c r="D28" s="17"/>
      <c r="E28" s="17"/>
      <c r="F28" s="17"/>
      <c r="G28" s="17"/>
      <c r="H28" s="17"/>
      <c r="I28" s="15"/>
      <c r="J28" s="17"/>
      <c r="K28" s="18"/>
    </row>
    <row r="29" spans="1:11" ht="21.75" customHeight="1" x14ac:dyDescent="0.3">
      <c r="A29" s="13" t="e">
        <f>IF('🍷 Catálogo de Vinos'!#REF!&lt;&gt;"", '🍷 Catálogo de Vinos'!#REF!, "")</f>
        <v>#REF!</v>
      </c>
      <c r="B29" s="14"/>
      <c r="C29" s="14"/>
      <c r="D29" s="14"/>
      <c r="E29" s="14"/>
      <c r="F29" s="14"/>
      <c r="G29" s="14"/>
      <c r="H29" s="14"/>
      <c r="I29" s="15"/>
      <c r="J29" s="14"/>
      <c r="K29" s="16"/>
    </row>
    <row r="30" spans="1:11" ht="21.75" customHeight="1" x14ac:dyDescent="0.3">
      <c r="A30" s="13" t="str">
        <f>IF('🍷 Catálogo de Vinos'!B7&lt;&gt;"", '🍷 Catálogo de Vinos'!B7, "")</f>
        <v/>
      </c>
      <c r="B30" s="17"/>
      <c r="C30" s="17"/>
      <c r="D30" s="17"/>
      <c r="E30" s="17"/>
      <c r="F30" s="17"/>
      <c r="G30" s="17"/>
      <c r="H30" s="17"/>
      <c r="I30" s="17"/>
      <c r="J30" s="17"/>
      <c r="K30" s="17"/>
    </row>
    <row r="31" spans="1:11" ht="21.75" customHeight="1" x14ac:dyDescent="0.3">
      <c r="A31" s="13" t="str">
        <f>IF('🍷 Catálogo de Vinos'!B8&lt;&gt;"", '🍷 Catálogo de Vinos'!B8, "")</f>
        <v/>
      </c>
      <c r="B31" s="14"/>
      <c r="C31" s="14"/>
      <c r="D31" s="14"/>
      <c r="E31" s="14"/>
      <c r="F31" s="14"/>
      <c r="G31" s="14"/>
      <c r="H31" s="14"/>
      <c r="I31" s="14"/>
      <c r="J31" s="14"/>
      <c r="K31" s="14"/>
    </row>
    <row r="32" spans="1:11" ht="21.75" customHeight="1" x14ac:dyDescent="0.3">
      <c r="A32" s="13" t="str">
        <f>IF('🍷 Catálogo de Vinos'!B9&lt;&gt;"", '🍷 Catálogo de Vinos'!B9, "")</f>
        <v/>
      </c>
      <c r="B32" s="17"/>
      <c r="C32" s="17"/>
      <c r="D32" s="17"/>
      <c r="E32" s="17"/>
      <c r="F32" s="17"/>
      <c r="G32" s="17"/>
      <c r="H32" s="17"/>
      <c r="I32" s="17"/>
      <c r="J32" s="17"/>
      <c r="K32" s="17"/>
    </row>
    <row r="33" spans="1:11" ht="21.75" customHeight="1" x14ac:dyDescent="0.3">
      <c r="A33" s="13" t="str">
        <f>IF('🍷 Catálogo de Vinos'!B10&lt;&gt;"", '🍷 Catálogo de Vinos'!B10, "")</f>
        <v/>
      </c>
      <c r="B33" s="14"/>
      <c r="C33" s="14"/>
      <c r="D33" s="14"/>
      <c r="E33" s="14"/>
      <c r="F33" s="14"/>
      <c r="G33" s="14"/>
      <c r="H33" s="14"/>
      <c r="I33" s="14"/>
      <c r="J33" s="14"/>
      <c r="K33" s="14"/>
    </row>
    <row r="34" spans="1:11" ht="21.75" customHeight="1" x14ac:dyDescent="0.3">
      <c r="A34" s="13" t="str">
        <f>IF('🍷 Catálogo de Vinos'!B11&lt;&gt;"", '🍷 Catálogo de Vinos'!B11, "")</f>
        <v/>
      </c>
      <c r="B34" s="17"/>
      <c r="C34" s="17"/>
      <c r="D34" s="17"/>
      <c r="E34" s="17"/>
      <c r="F34" s="17"/>
      <c r="G34" s="17"/>
      <c r="H34" s="17"/>
      <c r="I34" s="17"/>
      <c r="J34" s="17"/>
      <c r="K34" s="17"/>
    </row>
    <row r="35" spans="1:11" ht="21.75" customHeight="1" x14ac:dyDescent="0.3">
      <c r="A35" s="13" t="str">
        <f>IF('🍷 Catálogo de Vinos'!B12&lt;&gt;"", '🍷 Catálogo de Vinos'!B12, "")</f>
        <v/>
      </c>
      <c r="B35" s="14"/>
      <c r="C35" s="14"/>
      <c r="D35" s="14"/>
      <c r="E35" s="14"/>
      <c r="F35" s="14"/>
      <c r="G35" s="14"/>
      <c r="H35" s="14"/>
      <c r="I35" s="14"/>
      <c r="J35" s="14"/>
      <c r="K35" s="14"/>
    </row>
    <row r="36" spans="1:11" ht="21.75" customHeight="1" x14ac:dyDescent="0.3">
      <c r="A36" s="13" t="str">
        <f>IF('🍷 Catálogo de Vinos'!B13&lt;&gt;"", '🍷 Catálogo de Vinos'!B13, "")</f>
        <v/>
      </c>
      <c r="B36" s="17"/>
      <c r="C36" s="17"/>
      <c r="D36" s="17"/>
      <c r="E36" s="17"/>
      <c r="F36" s="17"/>
      <c r="G36" s="17"/>
      <c r="H36" s="17"/>
      <c r="I36" s="17"/>
      <c r="J36" s="17"/>
      <c r="K36" s="17"/>
    </row>
    <row r="37" spans="1:11" ht="21.75" customHeight="1" x14ac:dyDescent="0.3">
      <c r="A37" s="13" t="str">
        <f>IF('🍷 Catálogo de Vinos'!B14&lt;&gt;"", '🍷 Catálogo de Vinos'!B14, "")</f>
        <v/>
      </c>
      <c r="B37" s="14"/>
      <c r="C37" s="14"/>
      <c r="D37" s="14"/>
      <c r="E37" s="14"/>
      <c r="F37" s="14"/>
      <c r="G37" s="14"/>
      <c r="H37" s="14"/>
      <c r="I37" s="14"/>
      <c r="J37" s="14"/>
      <c r="K37" s="14"/>
    </row>
    <row r="38" spans="1:11" ht="21.75" customHeight="1" x14ac:dyDescent="0.3">
      <c r="A38" s="13" t="str">
        <f>IF('🍷 Catálogo de Vinos'!B15&lt;&gt;"", '🍷 Catálogo de Vinos'!B15, "")</f>
        <v/>
      </c>
      <c r="B38" s="17"/>
      <c r="C38" s="17"/>
      <c r="D38" s="17"/>
      <c r="E38" s="17"/>
      <c r="F38" s="17"/>
      <c r="G38" s="17"/>
      <c r="H38" s="17"/>
      <c r="I38" s="17"/>
      <c r="J38" s="17"/>
      <c r="K38" s="17"/>
    </row>
    <row r="39" spans="1:11" ht="21.75" customHeight="1" x14ac:dyDescent="0.3">
      <c r="A39" s="13" t="str">
        <f>IF('🍷 Catálogo de Vinos'!B16&lt;&gt;"", '🍷 Catálogo de Vinos'!B16, "")</f>
        <v/>
      </c>
      <c r="B39" s="14"/>
      <c r="C39" s="14"/>
      <c r="D39" s="14"/>
      <c r="E39" s="14"/>
      <c r="F39" s="14"/>
      <c r="G39" s="14"/>
      <c r="H39" s="14"/>
      <c r="I39" s="14"/>
      <c r="J39" s="14"/>
      <c r="K39" s="14"/>
    </row>
    <row r="40" spans="1:11" ht="21.75" customHeight="1" x14ac:dyDescent="0.3">
      <c r="A40" s="13" t="str">
        <f>IF('🍷 Catálogo de Vinos'!B17&lt;&gt;"", '🍷 Catálogo de Vinos'!B17, "")</f>
        <v/>
      </c>
      <c r="B40" s="17"/>
      <c r="C40" s="17"/>
      <c r="D40" s="17"/>
      <c r="E40" s="17"/>
      <c r="F40" s="17"/>
      <c r="G40" s="17"/>
      <c r="H40" s="17"/>
      <c r="I40" s="17"/>
      <c r="J40" s="17"/>
      <c r="K40" s="17"/>
    </row>
    <row r="41" spans="1:11" ht="21.75" customHeight="1" x14ac:dyDescent="0.3">
      <c r="A41" s="13" t="str">
        <f>IF('🍷 Catálogo de Vinos'!B18&lt;&gt;"", '🍷 Catálogo de Vinos'!B18, "")</f>
        <v/>
      </c>
      <c r="B41" s="14"/>
      <c r="C41" s="14"/>
      <c r="D41" s="14"/>
      <c r="E41" s="14"/>
      <c r="F41" s="14"/>
      <c r="G41" s="14"/>
      <c r="H41" s="14"/>
      <c r="I41" s="14"/>
      <c r="J41" s="14"/>
      <c r="K41" s="14"/>
    </row>
    <row r="42" spans="1:11" ht="21.75" customHeight="1" x14ac:dyDescent="0.3">
      <c r="A42" s="13" t="str">
        <f>IF('🍷 Catálogo de Vinos'!B19&lt;&gt;"", '🍷 Catálogo de Vinos'!B19, "")</f>
        <v/>
      </c>
      <c r="B42" s="17"/>
      <c r="C42" s="17"/>
      <c r="D42" s="17"/>
      <c r="E42" s="17"/>
      <c r="F42" s="17"/>
      <c r="G42" s="17"/>
      <c r="H42" s="17"/>
      <c r="I42" s="17"/>
      <c r="J42" s="17"/>
      <c r="K42" s="17"/>
    </row>
    <row r="43" spans="1:11" ht="21.75" customHeight="1" x14ac:dyDescent="0.3">
      <c r="A43" s="13" t="str">
        <f>IF('🍷 Catálogo de Vinos'!B20&lt;&gt;"", '🍷 Catálogo de Vinos'!B20, "")</f>
        <v/>
      </c>
      <c r="B43" s="14"/>
      <c r="C43" s="14"/>
      <c r="D43" s="14"/>
      <c r="E43" s="14"/>
      <c r="F43" s="14"/>
      <c r="G43" s="14"/>
      <c r="H43" s="14"/>
      <c r="I43" s="14"/>
      <c r="J43" s="14"/>
      <c r="K43" s="14"/>
    </row>
    <row r="44" spans="1:11" ht="21.75" customHeight="1" x14ac:dyDescent="0.3">
      <c r="A44" s="13" t="str">
        <f>IF('🍷 Catálogo de Vinos'!B21&lt;&gt;"", '🍷 Catálogo de Vinos'!B21, "")</f>
        <v/>
      </c>
      <c r="B44" s="17"/>
      <c r="C44" s="17"/>
      <c r="D44" s="17"/>
      <c r="E44" s="17"/>
      <c r="F44" s="17"/>
      <c r="G44" s="17"/>
      <c r="H44" s="17"/>
      <c r="I44" s="17"/>
      <c r="J44" s="17"/>
      <c r="K44" s="17"/>
    </row>
    <row r="45" spans="1:11" ht="21.75" customHeight="1" x14ac:dyDescent="0.3">
      <c r="A45" s="13" t="str">
        <f>IF('🍷 Catálogo de Vinos'!B22&lt;&gt;"", '🍷 Catálogo de Vinos'!B22, "")</f>
        <v/>
      </c>
      <c r="B45" s="14"/>
      <c r="C45" s="14"/>
      <c r="D45" s="14"/>
      <c r="E45" s="14"/>
      <c r="F45" s="14"/>
      <c r="G45" s="14"/>
      <c r="H45" s="14"/>
      <c r="I45" s="14"/>
      <c r="J45" s="14"/>
      <c r="K45" s="14"/>
    </row>
    <row r="46" spans="1:11" ht="21.75" customHeight="1" x14ac:dyDescent="0.3">
      <c r="A46" s="13" t="str">
        <f>IF('🍷 Catálogo de Vinos'!B23&lt;&gt;"", '🍷 Catálogo de Vinos'!B23, "")</f>
        <v/>
      </c>
      <c r="B46" s="17"/>
      <c r="C46" s="17"/>
      <c r="D46" s="17"/>
      <c r="E46" s="17"/>
      <c r="F46" s="17"/>
      <c r="G46" s="17"/>
      <c r="H46" s="17"/>
      <c r="I46" s="17"/>
      <c r="J46" s="17"/>
      <c r="K46" s="17"/>
    </row>
    <row r="47" spans="1:11" ht="21.75" customHeight="1" x14ac:dyDescent="0.3">
      <c r="A47" s="13" t="str">
        <f>IF('🍷 Catálogo de Vinos'!B24&lt;&gt;"", '🍷 Catálogo de Vinos'!B24, "")</f>
        <v/>
      </c>
      <c r="B47" s="14"/>
      <c r="C47" s="14"/>
      <c r="D47" s="14"/>
      <c r="E47" s="14"/>
      <c r="F47" s="14"/>
      <c r="G47" s="14"/>
      <c r="H47" s="14"/>
      <c r="I47" s="14"/>
      <c r="J47" s="14"/>
      <c r="K47" s="14"/>
    </row>
    <row r="48" spans="1:11" ht="21.75" customHeight="1" x14ac:dyDescent="0.3">
      <c r="A48" s="13" t="str">
        <f>IF('🍷 Catálogo de Vinos'!B25&lt;&gt;"", '🍷 Catálogo de Vinos'!B25, "")</f>
        <v/>
      </c>
      <c r="B48" s="17"/>
      <c r="C48" s="17"/>
      <c r="D48" s="17"/>
      <c r="E48" s="17"/>
      <c r="F48" s="17"/>
      <c r="G48" s="17"/>
      <c r="H48" s="17"/>
      <c r="I48" s="17"/>
      <c r="J48" s="17"/>
      <c r="K48" s="17"/>
    </row>
    <row r="49" spans="1:11" ht="21.75" customHeight="1" x14ac:dyDescent="0.3">
      <c r="A49" s="13" t="str">
        <f>IF('🍷 Catálogo de Vinos'!B26&lt;&gt;"", '🍷 Catálogo de Vinos'!B26, "")</f>
        <v/>
      </c>
      <c r="B49" s="14"/>
      <c r="C49" s="14"/>
      <c r="D49" s="14"/>
      <c r="E49" s="14"/>
      <c r="F49" s="14"/>
      <c r="G49" s="14"/>
      <c r="H49" s="14"/>
      <c r="I49" s="14"/>
      <c r="J49" s="14"/>
      <c r="K49" s="14"/>
    </row>
    <row r="50" spans="1:11" ht="21.75" customHeight="1" x14ac:dyDescent="0.3">
      <c r="A50" s="13" t="str">
        <f>IF('🍷 Catálogo de Vinos'!B27&lt;&gt;"", '🍷 Catálogo de Vinos'!B27, "")</f>
        <v/>
      </c>
      <c r="B50" s="17"/>
      <c r="C50" s="17"/>
      <c r="D50" s="17"/>
      <c r="E50" s="17"/>
      <c r="F50" s="17"/>
      <c r="G50" s="17"/>
      <c r="H50" s="17"/>
      <c r="I50" s="17"/>
      <c r="J50" s="17"/>
      <c r="K50" s="17"/>
    </row>
    <row r="51" spans="1:11" ht="21.75" customHeight="1" x14ac:dyDescent="0.3">
      <c r="A51" s="13" t="str">
        <f>IF('🍷 Catálogo de Vinos'!B28&lt;&gt;"", '🍷 Catálogo de Vinos'!B28, "")</f>
        <v/>
      </c>
      <c r="B51" s="14"/>
      <c r="C51" s="14"/>
      <c r="D51" s="14"/>
      <c r="E51" s="14"/>
      <c r="F51" s="14"/>
      <c r="G51" s="14"/>
      <c r="H51" s="14"/>
      <c r="I51" s="14"/>
      <c r="J51" s="14"/>
      <c r="K51" s="14"/>
    </row>
    <row r="52" spans="1:11" ht="21.75" customHeight="1" x14ac:dyDescent="0.3">
      <c r="A52" s="13" t="str">
        <f>IF('🍷 Catálogo de Vinos'!B29&lt;&gt;"", '🍷 Catálogo de Vinos'!B29, "")</f>
        <v/>
      </c>
      <c r="B52" s="17"/>
      <c r="C52" s="17"/>
      <c r="D52" s="17"/>
      <c r="E52" s="17"/>
      <c r="F52" s="17"/>
      <c r="G52" s="17"/>
      <c r="H52" s="17"/>
      <c r="I52" s="17"/>
      <c r="J52" s="17"/>
      <c r="K52" s="17"/>
    </row>
    <row r="53" spans="1:11" ht="21.75" customHeight="1" x14ac:dyDescent="0.3">
      <c r="A53" s="13" t="str">
        <f>IF('🍷 Catálogo de Vinos'!B30&lt;&gt;"", '🍷 Catálogo de Vinos'!B30, "")</f>
        <v/>
      </c>
      <c r="B53" s="14"/>
      <c r="C53" s="14"/>
      <c r="D53" s="14"/>
      <c r="E53" s="14"/>
      <c r="F53" s="14"/>
      <c r="G53" s="14"/>
      <c r="H53" s="14"/>
      <c r="I53" s="14"/>
      <c r="J53" s="14"/>
      <c r="K53" s="14"/>
    </row>
    <row r="54" spans="1:11" ht="21.75" customHeight="1" x14ac:dyDescent="0.3">
      <c r="A54" s="13" t="str">
        <f>IF('🍷 Catálogo de Vinos'!B31&lt;&gt;"", '🍷 Catálogo de Vinos'!B31, "")</f>
        <v/>
      </c>
      <c r="B54" s="17"/>
      <c r="C54" s="17"/>
      <c r="D54" s="17"/>
      <c r="E54" s="17"/>
      <c r="F54" s="17"/>
      <c r="G54" s="17"/>
      <c r="H54" s="17"/>
      <c r="I54" s="17"/>
      <c r="J54" s="17"/>
      <c r="K54" s="17"/>
    </row>
    <row r="55" spans="1:11" ht="15.75" customHeight="1" x14ac:dyDescent="0.3"/>
    <row r="56" spans="1:11" ht="15.75" customHeight="1" x14ac:dyDescent="0.3"/>
    <row r="57" spans="1:11" ht="15.75" customHeight="1" x14ac:dyDescent="0.3"/>
    <row r="58" spans="1:11" ht="15.75" customHeight="1" x14ac:dyDescent="0.3"/>
    <row r="59" spans="1:11" ht="15.75" customHeight="1" x14ac:dyDescent="0.3"/>
    <row r="60" spans="1:11" ht="15.75" customHeight="1" x14ac:dyDescent="0.3"/>
    <row r="61" spans="1:11" ht="15.75" customHeight="1" x14ac:dyDescent="0.3"/>
    <row r="62" spans="1:11" ht="15.75" customHeight="1" x14ac:dyDescent="0.3"/>
    <row r="63" spans="1:11" ht="15.75" customHeight="1" x14ac:dyDescent="0.3"/>
    <row r="64" spans="1:11"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2">
    <mergeCell ref="A1:K1"/>
    <mergeCell ref="A2:K2"/>
  </mergeCells>
  <dataValidations count="1">
    <dataValidation type="list" allowBlank="1" sqref="K5:K54" xr:uid="{00000000-0002-0000-0100-000000000000}">
      <formula1>"✅ Listo,⏳ En proceso,❌ Pendiente"</formula1>
    </dataValidation>
  </dataValidations>
  <pageMargins left="0.75" right="0.75" top="1" bottom="1" header="0" footer="0"/>
  <pageSetup paperSize="9" orientation="portrait"/>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000"/>
  <sheetViews>
    <sheetView showGridLines="0" workbookViewId="0">
      <pane ySplit="4" topLeftCell="A5" activePane="bottomLeft" state="frozen"/>
      <selection pane="bottomLeft" activeCell="B6" sqref="B6"/>
    </sheetView>
  </sheetViews>
  <sheetFormatPr baseColWidth="10" defaultColWidth="14.44140625" defaultRowHeight="15" customHeight="1" x14ac:dyDescent="0.3"/>
  <cols>
    <col min="1" max="1" width="12" customWidth="1"/>
    <col min="2" max="2" width="28" customWidth="1"/>
    <col min="3" max="3" width="8" customWidth="1"/>
    <col min="4" max="9" width="14" customWidth="1"/>
    <col min="10" max="10" width="18" customWidth="1"/>
    <col min="11" max="26" width="8.6640625" customWidth="1"/>
  </cols>
  <sheetData>
    <row r="1" spans="1:10" ht="36" customHeight="1" x14ac:dyDescent="0.3">
      <c r="A1" s="37" t="s">
        <v>52</v>
      </c>
      <c r="B1" s="35"/>
      <c r="C1" s="35"/>
      <c r="D1" s="35"/>
      <c r="E1" s="35"/>
      <c r="F1" s="35"/>
      <c r="G1" s="35"/>
      <c r="H1" s="35"/>
      <c r="I1" s="35"/>
      <c r="J1" s="36"/>
    </row>
    <row r="2" spans="1:10" ht="19.5" customHeight="1" x14ac:dyDescent="0.3">
      <c r="A2" s="41" t="s">
        <v>53</v>
      </c>
      <c r="B2" s="35"/>
      <c r="C2" s="35"/>
      <c r="D2" s="35"/>
      <c r="E2" s="35"/>
      <c r="F2" s="35"/>
      <c r="G2" s="35"/>
      <c r="H2" s="35"/>
      <c r="I2" s="35"/>
      <c r="J2" s="36"/>
    </row>
    <row r="3" spans="1:10" ht="6" customHeight="1" x14ac:dyDescent="0.3"/>
    <row r="4" spans="1:10" ht="36" customHeight="1" x14ac:dyDescent="0.3">
      <c r="A4" s="2" t="s">
        <v>54</v>
      </c>
      <c r="B4" s="2" t="s">
        <v>55</v>
      </c>
      <c r="C4" s="2" t="s">
        <v>56</v>
      </c>
      <c r="D4" s="2" t="s">
        <v>57</v>
      </c>
      <c r="E4" s="3" t="s">
        <v>58</v>
      </c>
      <c r="F4" s="3" t="s">
        <v>59</v>
      </c>
      <c r="G4" s="3" t="s">
        <v>60</v>
      </c>
      <c r="H4" s="3" t="s">
        <v>61</v>
      </c>
      <c r="I4" s="3" t="s">
        <v>62</v>
      </c>
      <c r="J4" s="3" t="s">
        <v>63</v>
      </c>
    </row>
    <row r="5" spans="1:10" ht="21.75" customHeight="1" x14ac:dyDescent="0.3">
      <c r="A5" s="19"/>
      <c r="B5" s="20"/>
      <c r="C5" s="21"/>
      <c r="D5" s="22"/>
      <c r="E5" s="23" t="str">
        <f t="shared" ref="E5:E64" si="0">IF(AND(C5&gt;0,D5&gt;0),C5*D5,"")</f>
        <v/>
      </c>
      <c r="F5" s="23" t="str">
        <f t="shared" ref="F5:F64" si="1">IF(E5&lt;&gt;"",E5*0.13,"")</f>
        <v/>
      </c>
      <c r="G5" s="23" t="str">
        <f t="shared" ref="G5:G64" si="2">IF(E5&lt;&gt;"",E5-F5,"")</f>
        <v/>
      </c>
      <c r="H5" s="24"/>
      <c r="I5" s="25" t="str">
        <f t="shared" ref="I5:I64" si="3">IF(G5&lt;&gt;"",G5-IF(H5&lt;&gt;"",H5,0),"")</f>
        <v/>
      </c>
      <c r="J5" s="26"/>
    </row>
    <row r="6" spans="1:10" ht="21.75" customHeight="1" x14ac:dyDescent="0.3">
      <c r="A6" s="19"/>
      <c r="B6" s="20"/>
      <c r="C6" s="21"/>
      <c r="D6" s="22"/>
      <c r="E6" s="23" t="str">
        <f t="shared" si="0"/>
        <v/>
      </c>
      <c r="F6" s="23" t="str">
        <f t="shared" si="1"/>
        <v/>
      </c>
      <c r="G6" s="23" t="str">
        <f t="shared" si="2"/>
        <v/>
      </c>
      <c r="H6" s="24"/>
      <c r="I6" s="25" t="str">
        <f t="shared" si="3"/>
        <v/>
      </c>
      <c r="J6" s="27"/>
    </row>
    <row r="7" spans="1:10" ht="21.75" customHeight="1" x14ac:dyDescent="0.3">
      <c r="A7" s="19"/>
      <c r="B7" s="20"/>
      <c r="C7" s="21"/>
      <c r="D7" s="22"/>
      <c r="E7" s="23" t="str">
        <f t="shared" si="0"/>
        <v/>
      </c>
      <c r="F7" s="23" t="str">
        <f t="shared" si="1"/>
        <v/>
      </c>
      <c r="G7" s="23" t="str">
        <f t="shared" si="2"/>
        <v/>
      </c>
      <c r="H7" s="24"/>
      <c r="I7" s="25" t="str">
        <f t="shared" si="3"/>
        <v/>
      </c>
      <c r="J7" s="26"/>
    </row>
    <row r="8" spans="1:10" ht="21.75" customHeight="1" x14ac:dyDescent="0.3">
      <c r="A8" s="19"/>
      <c r="B8" s="20"/>
      <c r="C8" s="21"/>
      <c r="D8" s="22"/>
      <c r="E8" s="23" t="str">
        <f t="shared" si="0"/>
        <v/>
      </c>
      <c r="F8" s="23" t="str">
        <f t="shared" si="1"/>
        <v/>
      </c>
      <c r="G8" s="23" t="str">
        <f t="shared" si="2"/>
        <v/>
      </c>
      <c r="H8" s="24"/>
      <c r="I8" s="25" t="str">
        <f t="shared" si="3"/>
        <v/>
      </c>
      <c r="J8" s="27"/>
    </row>
    <row r="9" spans="1:10" ht="21.75" customHeight="1" x14ac:dyDescent="0.3">
      <c r="A9" s="19"/>
      <c r="B9" s="20"/>
      <c r="C9" s="21"/>
      <c r="D9" s="22"/>
      <c r="E9" s="23" t="str">
        <f t="shared" si="0"/>
        <v/>
      </c>
      <c r="F9" s="23" t="str">
        <f t="shared" si="1"/>
        <v/>
      </c>
      <c r="G9" s="23" t="str">
        <f t="shared" si="2"/>
        <v/>
      </c>
      <c r="H9" s="24"/>
      <c r="I9" s="25" t="str">
        <f t="shared" si="3"/>
        <v/>
      </c>
      <c r="J9" s="26"/>
    </row>
    <row r="10" spans="1:10" ht="21.75" customHeight="1" x14ac:dyDescent="0.3">
      <c r="A10" s="19"/>
      <c r="B10" s="20"/>
      <c r="C10" s="21"/>
      <c r="D10" s="22"/>
      <c r="E10" s="23" t="str">
        <f t="shared" si="0"/>
        <v/>
      </c>
      <c r="F10" s="23" t="str">
        <f t="shared" si="1"/>
        <v/>
      </c>
      <c r="G10" s="23" t="str">
        <f t="shared" si="2"/>
        <v/>
      </c>
      <c r="H10" s="24"/>
      <c r="I10" s="25" t="str">
        <f t="shared" si="3"/>
        <v/>
      </c>
      <c r="J10" s="27"/>
    </row>
    <row r="11" spans="1:10" ht="21.75" customHeight="1" x14ac:dyDescent="0.3">
      <c r="A11" s="19"/>
      <c r="B11" s="20"/>
      <c r="C11" s="21"/>
      <c r="D11" s="22"/>
      <c r="E11" s="23" t="str">
        <f t="shared" si="0"/>
        <v/>
      </c>
      <c r="F11" s="23" t="str">
        <f t="shared" si="1"/>
        <v/>
      </c>
      <c r="G11" s="23" t="str">
        <f t="shared" si="2"/>
        <v/>
      </c>
      <c r="H11" s="24"/>
      <c r="I11" s="25" t="str">
        <f t="shared" si="3"/>
        <v/>
      </c>
      <c r="J11" s="26"/>
    </row>
    <row r="12" spans="1:10" ht="21.75" customHeight="1" x14ac:dyDescent="0.3">
      <c r="A12" s="19"/>
      <c r="B12" s="20"/>
      <c r="C12" s="21"/>
      <c r="D12" s="22"/>
      <c r="E12" s="23" t="str">
        <f t="shared" si="0"/>
        <v/>
      </c>
      <c r="F12" s="23" t="str">
        <f t="shared" si="1"/>
        <v/>
      </c>
      <c r="G12" s="23" t="str">
        <f t="shared" si="2"/>
        <v/>
      </c>
      <c r="H12" s="24"/>
      <c r="I12" s="25" t="str">
        <f t="shared" si="3"/>
        <v/>
      </c>
      <c r="J12" s="27"/>
    </row>
    <row r="13" spans="1:10" ht="21.75" customHeight="1" x14ac:dyDescent="0.3">
      <c r="A13" s="19"/>
      <c r="B13" s="20"/>
      <c r="C13" s="21"/>
      <c r="D13" s="22"/>
      <c r="E13" s="23" t="str">
        <f t="shared" si="0"/>
        <v/>
      </c>
      <c r="F13" s="23" t="str">
        <f t="shared" si="1"/>
        <v/>
      </c>
      <c r="G13" s="23" t="str">
        <f t="shared" si="2"/>
        <v/>
      </c>
      <c r="H13" s="24"/>
      <c r="I13" s="25" t="str">
        <f t="shared" si="3"/>
        <v/>
      </c>
      <c r="J13" s="26"/>
    </row>
    <row r="14" spans="1:10" ht="21.75" customHeight="1" x14ac:dyDescent="0.3">
      <c r="A14" s="19"/>
      <c r="B14" s="20"/>
      <c r="C14" s="21"/>
      <c r="D14" s="22"/>
      <c r="E14" s="23" t="str">
        <f t="shared" si="0"/>
        <v/>
      </c>
      <c r="F14" s="23" t="str">
        <f t="shared" si="1"/>
        <v/>
      </c>
      <c r="G14" s="23" t="str">
        <f t="shared" si="2"/>
        <v/>
      </c>
      <c r="H14" s="24"/>
      <c r="I14" s="25" t="str">
        <f t="shared" si="3"/>
        <v/>
      </c>
      <c r="J14" s="27"/>
    </row>
    <row r="15" spans="1:10" ht="21.75" customHeight="1" x14ac:dyDescent="0.3">
      <c r="A15" s="19"/>
      <c r="B15" s="20"/>
      <c r="C15" s="21"/>
      <c r="D15" s="22"/>
      <c r="E15" s="23" t="str">
        <f t="shared" si="0"/>
        <v/>
      </c>
      <c r="F15" s="23" t="str">
        <f t="shared" si="1"/>
        <v/>
      </c>
      <c r="G15" s="23" t="str">
        <f t="shared" si="2"/>
        <v/>
      </c>
      <c r="H15" s="24"/>
      <c r="I15" s="25" t="str">
        <f t="shared" si="3"/>
        <v/>
      </c>
      <c r="J15" s="26"/>
    </row>
    <row r="16" spans="1:10" ht="21.75" customHeight="1" x14ac:dyDescent="0.3">
      <c r="A16" s="19"/>
      <c r="B16" s="20"/>
      <c r="C16" s="21"/>
      <c r="D16" s="22"/>
      <c r="E16" s="23" t="str">
        <f t="shared" si="0"/>
        <v/>
      </c>
      <c r="F16" s="23" t="str">
        <f t="shared" si="1"/>
        <v/>
      </c>
      <c r="G16" s="23" t="str">
        <f t="shared" si="2"/>
        <v/>
      </c>
      <c r="H16" s="24"/>
      <c r="I16" s="25" t="str">
        <f t="shared" si="3"/>
        <v/>
      </c>
      <c r="J16" s="27"/>
    </row>
    <row r="17" spans="1:10" ht="21.75" customHeight="1" x14ac:dyDescent="0.3">
      <c r="A17" s="19"/>
      <c r="B17" s="20"/>
      <c r="C17" s="21"/>
      <c r="D17" s="22"/>
      <c r="E17" s="23" t="str">
        <f t="shared" si="0"/>
        <v/>
      </c>
      <c r="F17" s="23" t="str">
        <f t="shared" si="1"/>
        <v/>
      </c>
      <c r="G17" s="23" t="str">
        <f t="shared" si="2"/>
        <v/>
      </c>
      <c r="H17" s="24"/>
      <c r="I17" s="25" t="str">
        <f t="shared" si="3"/>
        <v/>
      </c>
      <c r="J17" s="26"/>
    </row>
    <row r="18" spans="1:10" ht="21.75" customHeight="1" x14ac:dyDescent="0.3">
      <c r="A18" s="19"/>
      <c r="B18" s="20"/>
      <c r="C18" s="21"/>
      <c r="D18" s="22"/>
      <c r="E18" s="23" t="str">
        <f t="shared" si="0"/>
        <v/>
      </c>
      <c r="F18" s="23" t="str">
        <f t="shared" si="1"/>
        <v/>
      </c>
      <c r="G18" s="23" t="str">
        <f t="shared" si="2"/>
        <v/>
      </c>
      <c r="H18" s="24"/>
      <c r="I18" s="25" t="str">
        <f t="shared" si="3"/>
        <v/>
      </c>
      <c r="J18" s="27"/>
    </row>
    <row r="19" spans="1:10" ht="21.75" customHeight="1" x14ac:dyDescent="0.3">
      <c r="A19" s="19"/>
      <c r="B19" s="20"/>
      <c r="C19" s="21"/>
      <c r="D19" s="22"/>
      <c r="E19" s="23" t="str">
        <f t="shared" si="0"/>
        <v/>
      </c>
      <c r="F19" s="23" t="str">
        <f t="shared" si="1"/>
        <v/>
      </c>
      <c r="G19" s="23" t="str">
        <f t="shared" si="2"/>
        <v/>
      </c>
      <c r="H19" s="24"/>
      <c r="I19" s="25" t="str">
        <f t="shared" si="3"/>
        <v/>
      </c>
      <c r="J19" s="26"/>
    </row>
    <row r="20" spans="1:10" ht="21.75" customHeight="1" x14ac:dyDescent="0.3">
      <c r="A20" s="19"/>
      <c r="B20" s="20"/>
      <c r="C20" s="21"/>
      <c r="D20" s="22"/>
      <c r="E20" s="23" t="str">
        <f t="shared" si="0"/>
        <v/>
      </c>
      <c r="F20" s="23" t="str">
        <f t="shared" si="1"/>
        <v/>
      </c>
      <c r="G20" s="23" t="str">
        <f t="shared" si="2"/>
        <v/>
      </c>
      <c r="H20" s="24"/>
      <c r="I20" s="25" t="str">
        <f t="shared" si="3"/>
        <v/>
      </c>
      <c r="J20" s="27"/>
    </row>
    <row r="21" spans="1:10" ht="21.75" customHeight="1" x14ac:dyDescent="0.3">
      <c r="A21" s="19"/>
      <c r="B21" s="20"/>
      <c r="C21" s="21"/>
      <c r="D21" s="22"/>
      <c r="E21" s="23" t="str">
        <f t="shared" si="0"/>
        <v/>
      </c>
      <c r="F21" s="23" t="str">
        <f t="shared" si="1"/>
        <v/>
      </c>
      <c r="G21" s="23" t="str">
        <f t="shared" si="2"/>
        <v/>
      </c>
      <c r="H21" s="24"/>
      <c r="I21" s="25" t="str">
        <f t="shared" si="3"/>
        <v/>
      </c>
      <c r="J21" s="26"/>
    </row>
    <row r="22" spans="1:10" ht="21.75" customHeight="1" x14ac:dyDescent="0.3">
      <c r="A22" s="19"/>
      <c r="B22" s="20"/>
      <c r="C22" s="21"/>
      <c r="D22" s="22"/>
      <c r="E22" s="23" t="str">
        <f t="shared" si="0"/>
        <v/>
      </c>
      <c r="F22" s="23" t="str">
        <f t="shared" si="1"/>
        <v/>
      </c>
      <c r="G22" s="23" t="str">
        <f t="shared" si="2"/>
        <v/>
      </c>
      <c r="H22" s="24"/>
      <c r="I22" s="25" t="str">
        <f t="shared" si="3"/>
        <v/>
      </c>
      <c r="J22" s="27"/>
    </row>
    <row r="23" spans="1:10" ht="21.75" customHeight="1" x14ac:dyDescent="0.3">
      <c r="A23" s="19"/>
      <c r="B23" s="20"/>
      <c r="C23" s="21"/>
      <c r="D23" s="22"/>
      <c r="E23" s="23" t="str">
        <f t="shared" si="0"/>
        <v/>
      </c>
      <c r="F23" s="23" t="str">
        <f t="shared" si="1"/>
        <v/>
      </c>
      <c r="G23" s="23" t="str">
        <f t="shared" si="2"/>
        <v/>
      </c>
      <c r="H23" s="24"/>
      <c r="I23" s="25" t="str">
        <f t="shared" si="3"/>
        <v/>
      </c>
      <c r="J23" s="26"/>
    </row>
    <row r="24" spans="1:10" ht="21.75" customHeight="1" x14ac:dyDescent="0.3">
      <c r="A24" s="19"/>
      <c r="B24" s="20"/>
      <c r="C24" s="21"/>
      <c r="D24" s="22"/>
      <c r="E24" s="23" t="str">
        <f t="shared" si="0"/>
        <v/>
      </c>
      <c r="F24" s="23" t="str">
        <f t="shared" si="1"/>
        <v/>
      </c>
      <c r="G24" s="23" t="str">
        <f t="shared" si="2"/>
        <v/>
      </c>
      <c r="H24" s="24"/>
      <c r="I24" s="25" t="str">
        <f t="shared" si="3"/>
        <v/>
      </c>
      <c r="J24" s="27"/>
    </row>
    <row r="25" spans="1:10" ht="21.75" customHeight="1" x14ac:dyDescent="0.3">
      <c r="A25" s="19"/>
      <c r="B25" s="20"/>
      <c r="C25" s="21"/>
      <c r="D25" s="22"/>
      <c r="E25" s="23" t="str">
        <f t="shared" si="0"/>
        <v/>
      </c>
      <c r="F25" s="23" t="str">
        <f t="shared" si="1"/>
        <v/>
      </c>
      <c r="G25" s="23" t="str">
        <f t="shared" si="2"/>
        <v/>
      </c>
      <c r="H25" s="24"/>
      <c r="I25" s="25" t="str">
        <f t="shared" si="3"/>
        <v/>
      </c>
      <c r="J25" s="26"/>
    </row>
    <row r="26" spans="1:10" ht="21.75" customHeight="1" x14ac:dyDescent="0.3">
      <c r="A26" s="19"/>
      <c r="B26" s="20"/>
      <c r="C26" s="21"/>
      <c r="D26" s="22"/>
      <c r="E26" s="23" t="str">
        <f t="shared" si="0"/>
        <v/>
      </c>
      <c r="F26" s="23" t="str">
        <f t="shared" si="1"/>
        <v/>
      </c>
      <c r="G26" s="23" t="str">
        <f t="shared" si="2"/>
        <v/>
      </c>
      <c r="H26" s="24"/>
      <c r="I26" s="25" t="str">
        <f t="shared" si="3"/>
        <v/>
      </c>
      <c r="J26" s="27"/>
    </row>
    <row r="27" spans="1:10" ht="21.75" customHeight="1" x14ac:dyDescent="0.3">
      <c r="A27" s="19"/>
      <c r="B27" s="20"/>
      <c r="C27" s="21"/>
      <c r="D27" s="22"/>
      <c r="E27" s="23" t="str">
        <f t="shared" si="0"/>
        <v/>
      </c>
      <c r="F27" s="23" t="str">
        <f t="shared" si="1"/>
        <v/>
      </c>
      <c r="G27" s="23" t="str">
        <f t="shared" si="2"/>
        <v/>
      </c>
      <c r="H27" s="24"/>
      <c r="I27" s="25" t="str">
        <f t="shared" si="3"/>
        <v/>
      </c>
      <c r="J27" s="26"/>
    </row>
    <row r="28" spans="1:10" ht="21.75" customHeight="1" x14ac:dyDescent="0.3">
      <c r="A28" s="19"/>
      <c r="B28" s="20"/>
      <c r="C28" s="21"/>
      <c r="D28" s="22"/>
      <c r="E28" s="23" t="str">
        <f t="shared" si="0"/>
        <v/>
      </c>
      <c r="F28" s="23" t="str">
        <f t="shared" si="1"/>
        <v/>
      </c>
      <c r="G28" s="23" t="str">
        <f t="shared" si="2"/>
        <v/>
      </c>
      <c r="H28" s="24"/>
      <c r="I28" s="25" t="str">
        <f t="shared" si="3"/>
        <v/>
      </c>
      <c r="J28" s="27"/>
    </row>
    <row r="29" spans="1:10" ht="21.75" customHeight="1" x14ac:dyDescent="0.3">
      <c r="A29" s="19"/>
      <c r="B29" s="20"/>
      <c r="C29" s="21"/>
      <c r="D29" s="22"/>
      <c r="E29" s="23" t="str">
        <f t="shared" si="0"/>
        <v/>
      </c>
      <c r="F29" s="23" t="str">
        <f t="shared" si="1"/>
        <v/>
      </c>
      <c r="G29" s="23" t="str">
        <f t="shared" si="2"/>
        <v/>
      </c>
      <c r="H29" s="24"/>
      <c r="I29" s="25" t="str">
        <f t="shared" si="3"/>
        <v/>
      </c>
      <c r="J29" s="26"/>
    </row>
    <row r="30" spans="1:10" ht="21.75" customHeight="1" x14ac:dyDescent="0.3">
      <c r="A30" s="19"/>
      <c r="B30" s="20"/>
      <c r="C30" s="21"/>
      <c r="D30" s="22"/>
      <c r="E30" s="23" t="str">
        <f t="shared" si="0"/>
        <v/>
      </c>
      <c r="F30" s="23" t="str">
        <f t="shared" si="1"/>
        <v/>
      </c>
      <c r="G30" s="23" t="str">
        <f t="shared" si="2"/>
        <v/>
      </c>
      <c r="H30" s="24"/>
      <c r="I30" s="25" t="str">
        <f t="shared" si="3"/>
        <v/>
      </c>
      <c r="J30" s="27"/>
    </row>
    <row r="31" spans="1:10" ht="21.75" customHeight="1" x14ac:dyDescent="0.3">
      <c r="A31" s="19"/>
      <c r="B31" s="20"/>
      <c r="C31" s="21"/>
      <c r="D31" s="22"/>
      <c r="E31" s="23" t="str">
        <f t="shared" si="0"/>
        <v/>
      </c>
      <c r="F31" s="23" t="str">
        <f t="shared" si="1"/>
        <v/>
      </c>
      <c r="G31" s="23" t="str">
        <f t="shared" si="2"/>
        <v/>
      </c>
      <c r="H31" s="24"/>
      <c r="I31" s="25" t="str">
        <f t="shared" si="3"/>
        <v/>
      </c>
      <c r="J31" s="26"/>
    </row>
    <row r="32" spans="1:10" ht="21.75" customHeight="1" x14ac:dyDescent="0.3">
      <c r="A32" s="19"/>
      <c r="B32" s="20"/>
      <c r="C32" s="21"/>
      <c r="D32" s="22"/>
      <c r="E32" s="23" t="str">
        <f t="shared" si="0"/>
        <v/>
      </c>
      <c r="F32" s="23" t="str">
        <f t="shared" si="1"/>
        <v/>
      </c>
      <c r="G32" s="23" t="str">
        <f t="shared" si="2"/>
        <v/>
      </c>
      <c r="H32" s="24"/>
      <c r="I32" s="25" t="str">
        <f t="shared" si="3"/>
        <v/>
      </c>
      <c r="J32" s="27"/>
    </row>
    <row r="33" spans="1:10" ht="21.75" customHeight="1" x14ac:dyDescent="0.3">
      <c r="A33" s="19"/>
      <c r="B33" s="20"/>
      <c r="C33" s="21"/>
      <c r="D33" s="22"/>
      <c r="E33" s="23" t="str">
        <f t="shared" si="0"/>
        <v/>
      </c>
      <c r="F33" s="23" t="str">
        <f t="shared" si="1"/>
        <v/>
      </c>
      <c r="G33" s="23" t="str">
        <f t="shared" si="2"/>
        <v/>
      </c>
      <c r="H33" s="24"/>
      <c r="I33" s="25" t="str">
        <f t="shared" si="3"/>
        <v/>
      </c>
      <c r="J33" s="26"/>
    </row>
    <row r="34" spans="1:10" ht="21.75" customHeight="1" x14ac:dyDescent="0.3">
      <c r="A34" s="19"/>
      <c r="B34" s="20"/>
      <c r="C34" s="21"/>
      <c r="D34" s="22"/>
      <c r="E34" s="23" t="str">
        <f t="shared" si="0"/>
        <v/>
      </c>
      <c r="F34" s="23" t="str">
        <f t="shared" si="1"/>
        <v/>
      </c>
      <c r="G34" s="23" t="str">
        <f t="shared" si="2"/>
        <v/>
      </c>
      <c r="H34" s="24"/>
      <c r="I34" s="25" t="str">
        <f t="shared" si="3"/>
        <v/>
      </c>
      <c r="J34" s="27"/>
    </row>
    <row r="35" spans="1:10" ht="21.75" customHeight="1" x14ac:dyDescent="0.3">
      <c r="A35" s="19"/>
      <c r="B35" s="20"/>
      <c r="C35" s="21"/>
      <c r="D35" s="22"/>
      <c r="E35" s="23" t="str">
        <f t="shared" si="0"/>
        <v/>
      </c>
      <c r="F35" s="23" t="str">
        <f t="shared" si="1"/>
        <v/>
      </c>
      <c r="G35" s="23" t="str">
        <f t="shared" si="2"/>
        <v/>
      </c>
      <c r="H35" s="24"/>
      <c r="I35" s="25" t="str">
        <f t="shared" si="3"/>
        <v/>
      </c>
      <c r="J35" s="26"/>
    </row>
    <row r="36" spans="1:10" ht="21.75" customHeight="1" x14ac:dyDescent="0.3">
      <c r="A36" s="19"/>
      <c r="B36" s="20"/>
      <c r="C36" s="21"/>
      <c r="D36" s="22"/>
      <c r="E36" s="23" t="str">
        <f t="shared" si="0"/>
        <v/>
      </c>
      <c r="F36" s="23" t="str">
        <f t="shared" si="1"/>
        <v/>
      </c>
      <c r="G36" s="23" t="str">
        <f t="shared" si="2"/>
        <v/>
      </c>
      <c r="H36" s="24"/>
      <c r="I36" s="25" t="str">
        <f t="shared" si="3"/>
        <v/>
      </c>
      <c r="J36" s="27"/>
    </row>
    <row r="37" spans="1:10" ht="21.75" customHeight="1" x14ac:dyDescent="0.3">
      <c r="A37" s="19"/>
      <c r="B37" s="20"/>
      <c r="C37" s="21"/>
      <c r="D37" s="22"/>
      <c r="E37" s="23" t="str">
        <f t="shared" si="0"/>
        <v/>
      </c>
      <c r="F37" s="23" t="str">
        <f t="shared" si="1"/>
        <v/>
      </c>
      <c r="G37" s="23" t="str">
        <f t="shared" si="2"/>
        <v/>
      </c>
      <c r="H37" s="24"/>
      <c r="I37" s="25" t="str">
        <f t="shared" si="3"/>
        <v/>
      </c>
      <c r="J37" s="26"/>
    </row>
    <row r="38" spans="1:10" ht="21.75" customHeight="1" x14ac:dyDescent="0.3">
      <c r="A38" s="19"/>
      <c r="B38" s="20"/>
      <c r="C38" s="21"/>
      <c r="D38" s="22"/>
      <c r="E38" s="23" t="str">
        <f t="shared" si="0"/>
        <v/>
      </c>
      <c r="F38" s="23" t="str">
        <f t="shared" si="1"/>
        <v/>
      </c>
      <c r="G38" s="23" t="str">
        <f t="shared" si="2"/>
        <v/>
      </c>
      <c r="H38" s="24"/>
      <c r="I38" s="25" t="str">
        <f t="shared" si="3"/>
        <v/>
      </c>
      <c r="J38" s="27"/>
    </row>
    <row r="39" spans="1:10" ht="21.75" customHeight="1" x14ac:dyDescent="0.3">
      <c r="A39" s="19"/>
      <c r="B39" s="20"/>
      <c r="C39" s="21"/>
      <c r="D39" s="22"/>
      <c r="E39" s="23" t="str">
        <f t="shared" si="0"/>
        <v/>
      </c>
      <c r="F39" s="23" t="str">
        <f t="shared" si="1"/>
        <v/>
      </c>
      <c r="G39" s="23" t="str">
        <f t="shared" si="2"/>
        <v/>
      </c>
      <c r="H39" s="24"/>
      <c r="I39" s="25" t="str">
        <f t="shared" si="3"/>
        <v/>
      </c>
      <c r="J39" s="26"/>
    </row>
    <row r="40" spans="1:10" ht="21.75" customHeight="1" x14ac:dyDescent="0.3">
      <c r="A40" s="19"/>
      <c r="B40" s="20"/>
      <c r="C40" s="21"/>
      <c r="D40" s="22"/>
      <c r="E40" s="23" t="str">
        <f t="shared" si="0"/>
        <v/>
      </c>
      <c r="F40" s="23" t="str">
        <f t="shared" si="1"/>
        <v/>
      </c>
      <c r="G40" s="23" t="str">
        <f t="shared" si="2"/>
        <v/>
      </c>
      <c r="H40" s="24"/>
      <c r="I40" s="25" t="str">
        <f t="shared" si="3"/>
        <v/>
      </c>
      <c r="J40" s="27"/>
    </row>
    <row r="41" spans="1:10" ht="21.75" customHeight="1" x14ac:dyDescent="0.3">
      <c r="A41" s="19"/>
      <c r="B41" s="20"/>
      <c r="C41" s="21"/>
      <c r="D41" s="22"/>
      <c r="E41" s="23" t="str">
        <f t="shared" si="0"/>
        <v/>
      </c>
      <c r="F41" s="23" t="str">
        <f t="shared" si="1"/>
        <v/>
      </c>
      <c r="G41" s="23" t="str">
        <f t="shared" si="2"/>
        <v/>
      </c>
      <c r="H41" s="24"/>
      <c r="I41" s="25" t="str">
        <f t="shared" si="3"/>
        <v/>
      </c>
      <c r="J41" s="26"/>
    </row>
    <row r="42" spans="1:10" ht="21.75" customHeight="1" x14ac:dyDescent="0.3">
      <c r="A42" s="19"/>
      <c r="B42" s="20"/>
      <c r="C42" s="21"/>
      <c r="D42" s="22"/>
      <c r="E42" s="23" t="str">
        <f t="shared" si="0"/>
        <v/>
      </c>
      <c r="F42" s="23" t="str">
        <f t="shared" si="1"/>
        <v/>
      </c>
      <c r="G42" s="23" t="str">
        <f t="shared" si="2"/>
        <v/>
      </c>
      <c r="H42" s="24"/>
      <c r="I42" s="25" t="str">
        <f t="shared" si="3"/>
        <v/>
      </c>
      <c r="J42" s="27"/>
    </row>
    <row r="43" spans="1:10" ht="21.75" customHeight="1" x14ac:dyDescent="0.3">
      <c r="A43" s="19"/>
      <c r="B43" s="20"/>
      <c r="C43" s="21"/>
      <c r="D43" s="22"/>
      <c r="E43" s="23" t="str">
        <f t="shared" si="0"/>
        <v/>
      </c>
      <c r="F43" s="23" t="str">
        <f t="shared" si="1"/>
        <v/>
      </c>
      <c r="G43" s="23" t="str">
        <f t="shared" si="2"/>
        <v/>
      </c>
      <c r="H43" s="24"/>
      <c r="I43" s="25" t="str">
        <f t="shared" si="3"/>
        <v/>
      </c>
      <c r="J43" s="26"/>
    </row>
    <row r="44" spans="1:10" ht="21.75" customHeight="1" x14ac:dyDescent="0.3">
      <c r="A44" s="19"/>
      <c r="B44" s="20"/>
      <c r="C44" s="21"/>
      <c r="D44" s="22"/>
      <c r="E44" s="23" t="str">
        <f t="shared" si="0"/>
        <v/>
      </c>
      <c r="F44" s="23" t="str">
        <f t="shared" si="1"/>
        <v/>
      </c>
      <c r="G44" s="23" t="str">
        <f t="shared" si="2"/>
        <v/>
      </c>
      <c r="H44" s="24"/>
      <c r="I44" s="25" t="str">
        <f t="shared" si="3"/>
        <v/>
      </c>
      <c r="J44" s="27"/>
    </row>
    <row r="45" spans="1:10" ht="21.75" customHeight="1" x14ac:dyDescent="0.3">
      <c r="A45" s="19"/>
      <c r="B45" s="20"/>
      <c r="C45" s="21"/>
      <c r="D45" s="22"/>
      <c r="E45" s="23" t="str">
        <f t="shared" si="0"/>
        <v/>
      </c>
      <c r="F45" s="23" t="str">
        <f t="shared" si="1"/>
        <v/>
      </c>
      <c r="G45" s="23" t="str">
        <f t="shared" si="2"/>
        <v/>
      </c>
      <c r="H45" s="24"/>
      <c r="I45" s="25" t="str">
        <f t="shared" si="3"/>
        <v/>
      </c>
      <c r="J45" s="26"/>
    </row>
    <row r="46" spans="1:10" ht="21.75" customHeight="1" x14ac:dyDescent="0.3">
      <c r="A46" s="19"/>
      <c r="B46" s="20"/>
      <c r="C46" s="21"/>
      <c r="D46" s="22"/>
      <c r="E46" s="23" t="str">
        <f t="shared" si="0"/>
        <v/>
      </c>
      <c r="F46" s="23" t="str">
        <f t="shared" si="1"/>
        <v/>
      </c>
      <c r="G46" s="23" t="str">
        <f t="shared" si="2"/>
        <v/>
      </c>
      <c r="H46" s="24"/>
      <c r="I46" s="25" t="str">
        <f t="shared" si="3"/>
        <v/>
      </c>
      <c r="J46" s="27"/>
    </row>
    <row r="47" spans="1:10" ht="21.75" customHeight="1" x14ac:dyDescent="0.3">
      <c r="A47" s="19"/>
      <c r="B47" s="20"/>
      <c r="C47" s="21"/>
      <c r="D47" s="22"/>
      <c r="E47" s="23" t="str">
        <f t="shared" si="0"/>
        <v/>
      </c>
      <c r="F47" s="23" t="str">
        <f t="shared" si="1"/>
        <v/>
      </c>
      <c r="G47" s="23" t="str">
        <f t="shared" si="2"/>
        <v/>
      </c>
      <c r="H47" s="24"/>
      <c r="I47" s="25" t="str">
        <f t="shared" si="3"/>
        <v/>
      </c>
      <c r="J47" s="26"/>
    </row>
    <row r="48" spans="1:10" ht="21.75" customHeight="1" x14ac:dyDescent="0.3">
      <c r="A48" s="19"/>
      <c r="B48" s="20"/>
      <c r="C48" s="21"/>
      <c r="D48" s="22"/>
      <c r="E48" s="23" t="str">
        <f t="shared" si="0"/>
        <v/>
      </c>
      <c r="F48" s="23" t="str">
        <f t="shared" si="1"/>
        <v/>
      </c>
      <c r="G48" s="23" t="str">
        <f t="shared" si="2"/>
        <v/>
      </c>
      <c r="H48" s="24"/>
      <c r="I48" s="25" t="str">
        <f t="shared" si="3"/>
        <v/>
      </c>
      <c r="J48" s="27"/>
    </row>
    <row r="49" spans="1:10" ht="21.75" customHeight="1" x14ac:dyDescent="0.3">
      <c r="A49" s="19"/>
      <c r="B49" s="20"/>
      <c r="C49" s="21"/>
      <c r="D49" s="22"/>
      <c r="E49" s="23" t="str">
        <f t="shared" si="0"/>
        <v/>
      </c>
      <c r="F49" s="23" t="str">
        <f t="shared" si="1"/>
        <v/>
      </c>
      <c r="G49" s="23" t="str">
        <f t="shared" si="2"/>
        <v/>
      </c>
      <c r="H49" s="24"/>
      <c r="I49" s="25" t="str">
        <f t="shared" si="3"/>
        <v/>
      </c>
      <c r="J49" s="26"/>
    </row>
    <row r="50" spans="1:10" ht="21.75" customHeight="1" x14ac:dyDescent="0.3">
      <c r="A50" s="19"/>
      <c r="B50" s="20"/>
      <c r="C50" s="21"/>
      <c r="D50" s="22"/>
      <c r="E50" s="23" t="str">
        <f t="shared" si="0"/>
        <v/>
      </c>
      <c r="F50" s="23" t="str">
        <f t="shared" si="1"/>
        <v/>
      </c>
      <c r="G50" s="23" t="str">
        <f t="shared" si="2"/>
        <v/>
      </c>
      <c r="H50" s="24"/>
      <c r="I50" s="25" t="str">
        <f t="shared" si="3"/>
        <v/>
      </c>
      <c r="J50" s="27"/>
    </row>
    <row r="51" spans="1:10" ht="21.75" customHeight="1" x14ac:dyDescent="0.3">
      <c r="A51" s="19"/>
      <c r="B51" s="20"/>
      <c r="C51" s="21"/>
      <c r="D51" s="22"/>
      <c r="E51" s="23" t="str">
        <f t="shared" si="0"/>
        <v/>
      </c>
      <c r="F51" s="23" t="str">
        <f t="shared" si="1"/>
        <v/>
      </c>
      <c r="G51" s="23" t="str">
        <f t="shared" si="2"/>
        <v/>
      </c>
      <c r="H51" s="24"/>
      <c r="I51" s="25" t="str">
        <f t="shared" si="3"/>
        <v/>
      </c>
      <c r="J51" s="26"/>
    </row>
    <row r="52" spans="1:10" ht="21.75" customHeight="1" x14ac:dyDescent="0.3">
      <c r="A52" s="19"/>
      <c r="B52" s="20"/>
      <c r="C52" s="21"/>
      <c r="D52" s="22"/>
      <c r="E52" s="23" t="str">
        <f t="shared" si="0"/>
        <v/>
      </c>
      <c r="F52" s="23" t="str">
        <f t="shared" si="1"/>
        <v/>
      </c>
      <c r="G52" s="23" t="str">
        <f t="shared" si="2"/>
        <v/>
      </c>
      <c r="H52" s="24"/>
      <c r="I52" s="25" t="str">
        <f t="shared" si="3"/>
        <v/>
      </c>
      <c r="J52" s="27"/>
    </row>
    <row r="53" spans="1:10" ht="21.75" customHeight="1" x14ac:dyDescent="0.3">
      <c r="A53" s="19"/>
      <c r="B53" s="20"/>
      <c r="C53" s="21"/>
      <c r="D53" s="22"/>
      <c r="E53" s="23" t="str">
        <f t="shared" si="0"/>
        <v/>
      </c>
      <c r="F53" s="23" t="str">
        <f t="shared" si="1"/>
        <v/>
      </c>
      <c r="G53" s="23" t="str">
        <f t="shared" si="2"/>
        <v/>
      </c>
      <c r="H53" s="24"/>
      <c r="I53" s="25" t="str">
        <f t="shared" si="3"/>
        <v/>
      </c>
      <c r="J53" s="26"/>
    </row>
    <row r="54" spans="1:10" ht="21.75" customHeight="1" x14ac:dyDescent="0.3">
      <c r="A54" s="19"/>
      <c r="B54" s="20"/>
      <c r="C54" s="21"/>
      <c r="D54" s="22"/>
      <c r="E54" s="23" t="str">
        <f t="shared" si="0"/>
        <v/>
      </c>
      <c r="F54" s="23" t="str">
        <f t="shared" si="1"/>
        <v/>
      </c>
      <c r="G54" s="23" t="str">
        <f t="shared" si="2"/>
        <v/>
      </c>
      <c r="H54" s="24"/>
      <c r="I54" s="25" t="str">
        <f t="shared" si="3"/>
        <v/>
      </c>
      <c r="J54" s="27"/>
    </row>
    <row r="55" spans="1:10" ht="21.75" customHeight="1" x14ac:dyDescent="0.3">
      <c r="A55" s="19"/>
      <c r="B55" s="20"/>
      <c r="C55" s="21"/>
      <c r="D55" s="22"/>
      <c r="E55" s="23" t="str">
        <f t="shared" si="0"/>
        <v/>
      </c>
      <c r="F55" s="23" t="str">
        <f t="shared" si="1"/>
        <v/>
      </c>
      <c r="G55" s="23" t="str">
        <f t="shared" si="2"/>
        <v/>
      </c>
      <c r="H55" s="24"/>
      <c r="I55" s="25" t="str">
        <f t="shared" si="3"/>
        <v/>
      </c>
      <c r="J55" s="26"/>
    </row>
    <row r="56" spans="1:10" ht="21.75" customHeight="1" x14ac:dyDescent="0.3">
      <c r="A56" s="19"/>
      <c r="B56" s="20"/>
      <c r="C56" s="21"/>
      <c r="D56" s="22"/>
      <c r="E56" s="23" t="str">
        <f t="shared" si="0"/>
        <v/>
      </c>
      <c r="F56" s="23" t="str">
        <f t="shared" si="1"/>
        <v/>
      </c>
      <c r="G56" s="23" t="str">
        <f t="shared" si="2"/>
        <v/>
      </c>
      <c r="H56" s="24"/>
      <c r="I56" s="25" t="str">
        <f t="shared" si="3"/>
        <v/>
      </c>
      <c r="J56" s="27"/>
    </row>
    <row r="57" spans="1:10" ht="21.75" customHeight="1" x14ac:dyDescent="0.3">
      <c r="A57" s="19"/>
      <c r="B57" s="20"/>
      <c r="C57" s="21"/>
      <c r="D57" s="22"/>
      <c r="E57" s="23" t="str">
        <f t="shared" si="0"/>
        <v/>
      </c>
      <c r="F57" s="23" t="str">
        <f t="shared" si="1"/>
        <v/>
      </c>
      <c r="G57" s="23" t="str">
        <f t="shared" si="2"/>
        <v/>
      </c>
      <c r="H57" s="24"/>
      <c r="I57" s="25" t="str">
        <f t="shared" si="3"/>
        <v/>
      </c>
      <c r="J57" s="26"/>
    </row>
    <row r="58" spans="1:10" ht="21.75" customHeight="1" x14ac:dyDescent="0.3">
      <c r="A58" s="19"/>
      <c r="B58" s="20"/>
      <c r="C58" s="21"/>
      <c r="D58" s="22"/>
      <c r="E58" s="23" t="str">
        <f t="shared" si="0"/>
        <v/>
      </c>
      <c r="F58" s="23" t="str">
        <f t="shared" si="1"/>
        <v/>
      </c>
      <c r="G58" s="23" t="str">
        <f t="shared" si="2"/>
        <v/>
      </c>
      <c r="H58" s="24"/>
      <c r="I58" s="25" t="str">
        <f t="shared" si="3"/>
        <v/>
      </c>
      <c r="J58" s="27"/>
    </row>
    <row r="59" spans="1:10" ht="21.75" customHeight="1" x14ac:dyDescent="0.3">
      <c r="A59" s="19"/>
      <c r="B59" s="20"/>
      <c r="C59" s="21"/>
      <c r="D59" s="22"/>
      <c r="E59" s="23" t="str">
        <f t="shared" si="0"/>
        <v/>
      </c>
      <c r="F59" s="23" t="str">
        <f t="shared" si="1"/>
        <v/>
      </c>
      <c r="G59" s="23" t="str">
        <f t="shared" si="2"/>
        <v/>
      </c>
      <c r="H59" s="24"/>
      <c r="I59" s="25" t="str">
        <f t="shared" si="3"/>
        <v/>
      </c>
      <c r="J59" s="26"/>
    </row>
    <row r="60" spans="1:10" ht="21.75" customHeight="1" x14ac:dyDescent="0.3">
      <c r="A60" s="19"/>
      <c r="B60" s="20"/>
      <c r="C60" s="21"/>
      <c r="D60" s="22"/>
      <c r="E60" s="23" t="str">
        <f t="shared" si="0"/>
        <v/>
      </c>
      <c r="F60" s="23" t="str">
        <f t="shared" si="1"/>
        <v/>
      </c>
      <c r="G60" s="23" t="str">
        <f t="shared" si="2"/>
        <v/>
      </c>
      <c r="H60" s="24"/>
      <c r="I60" s="25" t="str">
        <f t="shared" si="3"/>
        <v/>
      </c>
      <c r="J60" s="27"/>
    </row>
    <row r="61" spans="1:10" ht="21.75" customHeight="1" x14ac:dyDescent="0.3">
      <c r="A61" s="19"/>
      <c r="B61" s="20"/>
      <c r="C61" s="21"/>
      <c r="D61" s="22"/>
      <c r="E61" s="23" t="str">
        <f t="shared" si="0"/>
        <v/>
      </c>
      <c r="F61" s="23" t="str">
        <f t="shared" si="1"/>
        <v/>
      </c>
      <c r="G61" s="23" t="str">
        <f t="shared" si="2"/>
        <v/>
      </c>
      <c r="H61" s="24"/>
      <c r="I61" s="25" t="str">
        <f t="shared" si="3"/>
        <v/>
      </c>
      <c r="J61" s="26"/>
    </row>
    <row r="62" spans="1:10" ht="21.75" customHeight="1" x14ac:dyDescent="0.3">
      <c r="A62" s="19"/>
      <c r="B62" s="20"/>
      <c r="C62" s="21"/>
      <c r="D62" s="22"/>
      <c r="E62" s="23" t="str">
        <f t="shared" si="0"/>
        <v/>
      </c>
      <c r="F62" s="23" t="str">
        <f t="shared" si="1"/>
        <v/>
      </c>
      <c r="G62" s="23" t="str">
        <f t="shared" si="2"/>
        <v/>
      </c>
      <c r="H62" s="24"/>
      <c r="I62" s="25" t="str">
        <f t="shared" si="3"/>
        <v/>
      </c>
      <c r="J62" s="27"/>
    </row>
    <row r="63" spans="1:10" ht="21.75" customHeight="1" x14ac:dyDescent="0.3">
      <c r="A63" s="19"/>
      <c r="B63" s="20"/>
      <c r="C63" s="21"/>
      <c r="D63" s="22"/>
      <c r="E63" s="23" t="str">
        <f t="shared" si="0"/>
        <v/>
      </c>
      <c r="F63" s="23" t="str">
        <f t="shared" si="1"/>
        <v/>
      </c>
      <c r="G63" s="23" t="str">
        <f t="shared" si="2"/>
        <v/>
      </c>
      <c r="H63" s="24"/>
      <c r="I63" s="25" t="str">
        <f t="shared" si="3"/>
        <v/>
      </c>
      <c r="J63" s="26"/>
    </row>
    <row r="64" spans="1:10" ht="21.75" customHeight="1" x14ac:dyDescent="0.3">
      <c r="A64" s="19"/>
      <c r="B64" s="20"/>
      <c r="C64" s="21"/>
      <c r="D64" s="22"/>
      <c r="E64" s="23" t="str">
        <f t="shared" si="0"/>
        <v/>
      </c>
      <c r="F64" s="23" t="str">
        <f t="shared" si="1"/>
        <v/>
      </c>
      <c r="G64" s="23" t="str">
        <f t="shared" si="2"/>
        <v/>
      </c>
      <c r="H64" s="24"/>
      <c r="I64" s="25" t="str">
        <f t="shared" si="3"/>
        <v/>
      </c>
      <c r="J64" s="27"/>
    </row>
    <row r="65" spans="1:9" ht="27.75" customHeight="1" x14ac:dyDescent="0.3">
      <c r="A65" s="42" t="s">
        <v>64</v>
      </c>
      <c r="B65" s="43"/>
      <c r="C65" s="28">
        <f>SUM(C5:C64)</f>
        <v>0</v>
      </c>
      <c r="E65" s="29">
        <f t="shared" ref="E65:I65" si="4">SUM(E5:E64)</f>
        <v>0</v>
      </c>
      <c r="F65" s="29">
        <f t="shared" si="4"/>
        <v>0</v>
      </c>
      <c r="G65" s="29">
        <f t="shared" si="4"/>
        <v>0</v>
      </c>
      <c r="H65" s="29">
        <f t="shared" si="4"/>
        <v>0</v>
      </c>
      <c r="I65" s="29">
        <f t="shared" si="4"/>
        <v>0</v>
      </c>
    </row>
    <row r="66" spans="1:9" ht="15.75" customHeight="1" x14ac:dyDescent="0.3"/>
    <row r="67" spans="1:9" ht="15.75" customHeight="1" x14ac:dyDescent="0.3"/>
    <row r="68" spans="1:9" ht="15.75" customHeight="1" x14ac:dyDescent="0.3"/>
    <row r="69" spans="1:9" ht="15.75" customHeight="1" x14ac:dyDescent="0.3"/>
    <row r="70" spans="1:9" ht="15.75" customHeight="1" x14ac:dyDescent="0.3"/>
    <row r="71" spans="1:9" ht="15.75" customHeight="1" x14ac:dyDescent="0.3"/>
    <row r="72" spans="1:9" ht="15.75" customHeight="1" x14ac:dyDescent="0.3"/>
    <row r="73" spans="1:9" ht="15.75" customHeight="1" x14ac:dyDescent="0.3"/>
    <row r="74" spans="1:9" ht="15.75" customHeight="1" x14ac:dyDescent="0.3"/>
    <row r="75" spans="1:9" ht="15.75" customHeight="1" x14ac:dyDescent="0.3"/>
    <row r="76" spans="1:9" ht="15.75" customHeight="1" x14ac:dyDescent="0.3"/>
    <row r="77" spans="1:9" ht="15.75" customHeight="1" x14ac:dyDescent="0.3"/>
    <row r="78" spans="1:9" ht="15.75" customHeight="1" x14ac:dyDescent="0.3"/>
    <row r="79" spans="1:9" ht="15.75" customHeight="1" x14ac:dyDescent="0.3"/>
    <row r="80" spans="1:9"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3">
    <mergeCell ref="A1:J1"/>
    <mergeCell ref="A2:J2"/>
    <mergeCell ref="A65:B65"/>
  </mergeCells>
  <pageMargins left="0.75" right="0.75" top="1" bottom="1"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000"/>
  <sheetViews>
    <sheetView showGridLines="0" workbookViewId="0">
      <selection sqref="A1:C1"/>
    </sheetView>
  </sheetViews>
  <sheetFormatPr baseColWidth="10" defaultColWidth="14.44140625" defaultRowHeight="15" customHeight="1" x14ac:dyDescent="0.3"/>
  <cols>
    <col min="1" max="1" width="2" customWidth="1"/>
    <col min="2" max="2" width="22" customWidth="1"/>
    <col min="3" max="3" width="60" customWidth="1"/>
    <col min="4" max="26" width="8.6640625" customWidth="1"/>
  </cols>
  <sheetData>
    <row r="1" spans="1:3" ht="36" customHeight="1" x14ac:dyDescent="0.3">
      <c r="A1" s="37" t="s">
        <v>65</v>
      </c>
      <c r="B1" s="35"/>
      <c r="C1" s="36"/>
    </row>
    <row r="3" spans="1:3" ht="24" customHeight="1" x14ac:dyDescent="0.3">
      <c r="B3" s="30" t="s">
        <v>66</v>
      </c>
      <c r="C3" s="30" t="s">
        <v>67</v>
      </c>
    </row>
    <row r="4" spans="1:3" ht="19.5" customHeight="1" x14ac:dyDescent="0.3">
      <c r="B4" s="31"/>
      <c r="C4" s="32" t="s">
        <v>68</v>
      </c>
    </row>
    <row r="5" spans="1:3" ht="19.5" customHeight="1" x14ac:dyDescent="0.3">
      <c r="B5" s="31"/>
      <c r="C5" s="33" t="s">
        <v>69</v>
      </c>
    </row>
    <row r="6" spans="1:3" ht="19.5" customHeight="1" x14ac:dyDescent="0.3">
      <c r="B6" s="31"/>
      <c r="C6" s="32" t="s">
        <v>70</v>
      </c>
    </row>
    <row r="7" spans="1:3" ht="19.5" customHeight="1" x14ac:dyDescent="0.3">
      <c r="B7" s="31"/>
      <c r="C7" s="33" t="s">
        <v>71</v>
      </c>
    </row>
    <row r="8" spans="1:3" ht="19.5" customHeight="1" x14ac:dyDescent="0.3">
      <c r="B8" s="31"/>
      <c r="C8" s="32"/>
    </row>
    <row r="9" spans="1:3" ht="24" customHeight="1" x14ac:dyDescent="0.3">
      <c r="B9" s="30" t="s">
        <v>72</v>
      </c>
      <c r="C9" s="30" t="s">
        <v>73</v>
      </c>
    </row>
    <row r="10" spans="1:3" ht="19.5" customHeight="1" x14ac:dyDescent="0.3">
      <c r="B10" s="31"/>
      <c r="C10" s="32" t="s">
        <v>74</v>
      </c>
    </row>
    <row r="11" spans="1:3" ht="19.5" customHeight="1" x14ac:dyDescent="0.3">
      <c r="B11" s="31"/>
      <c r="C11" s="33" t="s">
        <v>75</v>
      </c>
    </row>
    <row r="12" spans="1:3" ht="19.5" customHeight="1" x14ac:dyDescent="0.3">
      <c r="B12" s="31"/>
      <c r="C12" s="32" t="s">
        <v>76</v>
      </c>
    </row>
    <row r="13" spans="1:3" ht="19.5" customHeight="1" x14ac:dyDescent="0.3">
      <c r="B13" s="31"/>
      <c r="C13" s="33"/>
    </row>
    <row r="14" spans="1:3" ht="24" customHeight="1" x14ac:dyDescent="0.3">
      <c r="B14" s="30" t="s">
        <v>77</v>
      </c>
      <c r="C14" s="30" t="s">
        <v>78</v>
      </c>
    </row>
    <row r="15" spans="1:3" ht="19.5" customHeight="1" x14ac:dyDescent="0.3">
      <c r="B15" s="31"/>
      <c r="C15" s="33" t="s">
        <v>79</v>
      </c>
    </row>
    <row r="16" spans="1:3" ht="19.5" customHeight="1" x14ac:dyDescent="0.3">
      <c r="B16" s="31"/>
      <c r="C16" s="32" t="s">
        <v>80</v>
      </c>
    </row>
    <row r="17" spans="2:3" ht="19.5" customHeight="1" x14ac:dyDescent="0.3">
      <c r="B17" s="31"/>
      <c r="C17" s="33" t="s">
        <v>81</v>
      </c>
    </row>
    <row r="18" spans="2:3" ht="19.5" customHeight="1" x14ac:dyDescent="0.3">
      <c r="B18" s="31"/>
      <c r="C18" s="32"/>
    </row>
    <row r="19" spans="2:3" ht="24" customHeight="1" x14ac:dyDescent="0.3">
      <c r="B19" s="30" t="s">
        <v>82</v>
      </c>
      <c r="C19" s="30" t="s">
        <v>83</v>
      </c>
    </row>
    <row r="20" spans="2:3" ht="19.5" customHeight="1" x14ac:dyDescent="0.3">
      <c r="B20" s="31"/>
      <c r="C20" s="32" t="s">
        <v>84</v>
      </c>
    </row>
    <row r="21" spans="2:3" ht="19.5" customHeight="1" x14ac:dyDescent="0.3">
      <c r="B21" s="31"/>
      <c r="C21" s="33" t="s">
        <v>85</v>
      </c>
    </row>
    <row r="22" spans="2:3" ht="19.5" customHeight="1" x14ac:dyDescent="0.3">
      <c r="B22" s="31"/>
      <c r="C22" s="32" t="s">
        <v>86</v>
      </c>
    </row>
    <row r="23" spans="2:3" ht="19.5" customHeight="1" x14ac:dyDescent="0.3">
      <c r="B23" s="31"/>
      <c r="C23" s="33"/>
    </row>
    <row r="24" spans="2:3" ht="24" customHeight="1" x14ac:dyDescent="0.3">
      <c r="B24" s="30" t="s">
        <v>87</v>
      </c>
      <c r="C24" s="30" t="s">
        <v>88</v>
      </c>
    </row>
    <row r="25" spans="2:3" ht="19.5" customHeight="1" x14ac:dyDescent="0.3">
      <c r="B25" s="31"/>
      <c r="C25" s="33" t="s">
        <v>89</v>
      </c>
    </row>
    <row r="26" spans="2:3" ht="19.5" customHeight="1" x14ac:dyDescent="0.3">
      <c r="B26" s="31"/>
      <c r="C26" s="32" t="s">
        <v>90</v>
      </c>
    </row>
    <row r="27" spans="2:3" ht="19.5" customHeight="1" x14ac:dyDescent="0.3">
      <c r="B27" s="31"/>
      <c r="C27" s="33" t="s">
        <v>91</v>
      </c>
    </row>
    <row r="28" spans="2:3" ht="19.5" customHeight="1" x14ac:dyDescent="0.3">
      <c r="B28" s="31"/>
      <c r="C28" s="32" t="s">
        <v>92</v>
      </c>
    </row>
    <row r="29" spans="2:3" ht="19.5" customHeight="1" x14ac:dyDescent="0.3">
      <c r="B29" s="31"/>
      <c r="C29" s="33"/>
    </row>
    <row r="30" spans="2:3" ht="24" customHeight="1" x14ac:dyDescent="0.3">
      <c r="B30" s="30" t="s">
        <v>93</v>
      </c>
      <c r="C30" s="30" t="s">
        <v>94</v>
      </c>
    </row>
    <row r="31" spans="2:3" ht="19.5" customHeight="1" x14ac:dyDescent="0.3">
      <c r="B31" s="31"/>
      <c r="C31" s="33" t="s">
        <v>95</v>
      </c>
    </row>
    <row r="32" spans="2:3" ht="19.5" customHeight="1" x14ac:dyDescent="0.3">
      <c r="B32" s="31"/>
      <c r="C32" s="32" t="s">
        <v>96</v>
      </c>
    </row>
    <row r="33" spans="3:3" ht="15.75" customHeight="1" x14ac:dyDescent="0.3">
      <c r="C33" s="32"/>
    </row>
    <row r="34" spans="3:3" ht="15.75" customHeight="1" x14ac:dyDescent="0.3"/>
    <row r="35" spans="3:3" ht="15.75" customHeight="1" x14ac:dyDescent="0.3"/>
    <row r="36" spans="3:3" ht="15.75" customHeight="1" x14ac:dyDescent="0.3"/>
    <row r="37" spans="3:3" ht="15.75" customHeight="1" x14ac:dyDescent="0.3"/>
    <row r="38" spans="3:3" ht="15.75" customHeight="1" x14ac:dyDescent="0.3"/>
    <row r="39" spans="3:3" ht="15.75" customHeight="1" x14ac:dyDescent="0.3"/>
    <row r="40" spans="3:3" ht="15.75" customHeight="1" x14ac:dyDescent="0.3"/>
    <row r="41" spans="3:3" ht="15.75" customHeight="1" x14ac:dyDescent="0.3"/>
    <row r="42" spans="3:3" ht="15.75" customHeight="1" x14ac:dyDescent="0.3"/>
    <row r="43" spans="3:3" ht="15.75" customHeight="1" x14ac:dyDescent="0.3"/>
    <row r="44" spans="3:3" ht="15.75" customHeight="1" x14ac:dyDescent="0.3"/>
    <row r="45" spans="3:3" ht="15.75" customHeight="1" x14ac:dyDescent="0.3"/>
    <row r="46" spans="3:3" ht="15.75" customHeight="1" x14ac:dyDescent="0.3"/>
    <row r="47" spans="3:3" ht="15.75" customHeight="1" x14ac:dyDescent="0.3"/>
    <row r="48" spans="3:3"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C1"/>
  </mergeCells>
  <pageMargins left="0.75" right="0.75" top="1" bottom="1"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 Catálogo de Vinos</vt:lpstr>
      <vt:lpstr>📸 Fotos y Contenido</vt:lpstr>
      <vt:lpstr>📊 Seguimiento Ventas</vt:lpstr>
      <vt:lpstr>ℹ️ Instrucciones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Jasmin Ruiz</cp:lastModifiedBy>
  <dcterms:created xsi:type="dcterms:W3CDTF">2026-03-26T13:24:59Z</dcterms:created>
  <dcterms:modified xsi:type="dcterms:W3CDTF">2026-05-27T16:11:29Z</dcterms:modified>
</cp:coreProperties>
</file>